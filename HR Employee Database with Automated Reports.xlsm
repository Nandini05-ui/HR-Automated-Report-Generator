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26f8b6dd1327b8a/Desktop/"/>
    </mc:Choice>
  </mc:AlternateContent>
  <xr:revisionPtr revIDLastSave="5" documentId="11_FB94322FB3DAA90A2AE7FF591F9F5028B2E9DEF5" xr6:coauthVersionLast="47" xr6:coauthVersionMax="47" xr10:uidLastSave="{A715C7FA-717B-4B70-8762-0C6E5FEC8C8D}"/>
  <bookViews>
    <workbookView xWindow="-108" yWindow="-108" windowWidth="23256" windowHeight="12456" tabRatio="926" firstSheet="18" activeTab="24" xr2:uid="{00000000-000D-0000-FFFF-FFFF00000000}"/>
  </bookViews>
  <sheets>
    <sheet name="TITLE" sheetId="1" r:id="rId1"/>
    <sheet name="Table of contents" sheetId="25" r:id="rId2"/>
    <sheet name="EMPLOYEE DETAILS" sheetId="18" r:id="rId3"/>
    <sheet name=" DEPARTMENTS" sheetId="2" r:id="rId4"/>
    <sheet name="LEAVE TITLE" sheetId="16" r:id="rId5"/>
    <sheet name="JANUARY" sheetId="3" r:id="rId6"/>
    <sheet name="FEBRUARY" sheetId="5" r:id="rId7"/>
    <sheet name="MARCH" sheetId="4" r:id="rId8"/>
    <sheet name="APRIL" sheetId="6" r:id="rId9"/>
    <sheet name="MAY" sheetId="7" r:id="rId10"/>
    <sheet name="JUNE" sheetId="8" r:id="rId11"/>
    <sheet name="JULY" sheetId="9" r:id="rId12"/>
    <sheet name="AUGUST" sheetId="10" r:id="rId13"/>
    <sheet name="SEPTEMBER" sheetId="11" r:id="rId14"/>
    <sheet name="OCTOBER" sheetId="12" r:id="rId15"/>
    <sheet name="NOVEMBER" sheetId="13" r:id="rId16"/>
    <sheet name="DECEMBER" sheetId="14" r:id="rId17"/>
    <sheet name=" LEAVE TRACKER" sheetId="17" r:id="rId18"/>
    <sheet name="SALARY(HR DEPT)" sheetId="20" r:id="rId19"/>
    <sheet name="SALARY(IT DEPT)" sheetId="22" r:id="rId20"/>
    <sheet name="SALARY(FINANCE DEPT)" sheetId="21" r:id="rId21"/>
    <sheet name="SALARY(MARKETING DEPT)" sheetId="23" r:id="rId22"/>
    <sheet name="SALARY(SALES DEPT)" sheetId="24" r:id="rId23"/>
    <sheet name="SALARY TRACKER" sheetId="26" r:id="rId24"/>
    <sheet name="AUTOMATED REPORTS" sheetId="28" r:id="rId25"/>
  </sheets>
  <definedNames>
    <definedName name="_xlnm._FilterDatabase" localSheetId="3" hidden="1">' DEPARTMENTS'!$G$4:$O$8</definedName>
    <definedName name="_xlnm._FilterDatabase" localSheetId="17" hidden="1">' LEAVE TRACKER'!$D$5:$E$26</definedName>
    <definedName name="_xlnm._FilterDatabase" localSheetId="23" hidden="1">'SALARY TRACKER'!$E$7:$P$27</definedName>
    <definedName name="idlist">'EMPLOYEE DETAILS'!$E$4:$E$24</definedName>
    <definedName name="ListWork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6" l="1"/>
  <c r="B8" i="26"/>
  <c r="B9" i="26"/>
  <c r="B10" i="26"/>
  <c r="B6" i="26"/>
  <c r="B6" i="17"/>
  <c r="B7" i="17"/>
  <c r="B8" i="17"/>
  <c r="B9" i="17"/>
  <c r="B10" i="17"/>
  <c r="B11" i="17"/>
  <c r="B12" i="17"/>
  <c r="B13" i="17"/>
  <c r="B14" i="17"/>
  <c r="B15" i="17"/>
  <c r="B16" i="17"/>
  <c r="B17" i="17"/>
  <c r="A2" i="17"/>
  <c r="A2" i="21" l="1"/>
  <c r="A2" i="20"/>
  <c r="A2" i="22"/>
  <c r="A2" i="23"/>
  <c r="A2" i="24"/>
  <c r="A2" i="2"/>
  <c r="A2" i="16"/>
  <c r="A2" i="3"/>
  <c r="A2" i="5"/>
  <c r="A2" i="4"/>
  <c r="A2" i="6"/>
  <c r="A2" i="7"/>
  <c r="A2" i="8"/>
  <c r="A2" i="9"/>
  <c r="A2" i="10"/>
  <c r="A2" i="11"/>
  <c r="A2" i="12"/>
  <c r="A2" i="13"/>
  <c r="A2" i="14"/>
  <c r="A2" i="26"/>
  <c r="A2" i="28"/>
  <c r="A2" i="18"/>
  <c r="G3" i="25"/>
  <c r="I25" i="26" l="1"/>
  <c r="J25" i="26"/>
  <c r="I26" i="26"/>
  <c r="J26" i="26"/>
  <c r="I27" i="26"/>
  <c r="J27" i="26"/>
  <c r="J24" i="26"/>
  <c r="I24" i="26"/>
  <c r="J18" i="26"/>
  <c r="J19" i="26"/>
  <c r="I19" i="26"/>
  <c r="I17" i="26"/>
  <c r="J17" i="26"/>
  <c r="I18" i="26"/>
  <c r="J16" i="26"/>
  <c r="I16" i="26"/>
  <c r="I13" i="26"/>
  <c r="J13" i="26"/>
  <c r="K13" i="26"/>
  <c r="I14" i="26"/>
  <c r="J14" i="26"/>
  <c r="K14" i="26"/>
  <c r="I15" i="26"/>
  <c r="J15" i="26"/>
  <c r="K15" i="26"/>
  <c r="J12" i="26"/>
  <c r="K12" i="26"/>
  <c r="I12" i="26"/>
  <c r="I21" i="26"/>
  <c r="I22" i="26"/>
  <c r="I23" i="26"/>
  <c r="I20" i="26"/>
  <c r="I9" i="26"/>
  <c r="I10" i="26"/>
  <c r="I11" i="26"/>
  <c r="I8" i="26"/>
  <c r="F27" i="25"/>
  <c r="F4" i="25"/>
  <c r="F5" i="25"/>
  <c r="F6" i="25"/>
  <c r="F3" i="25"/>
  <c r="F7" i="25"/>
  <c r="F8" i="25"/>
  <c r="F9" i="25"/>
  <c r="F14" i="25"/>
  <c r="F16" i="25"/>
  <c r="F11" i="25"/>
  <c r="F13" i="25"/>
  <c r="F15" i="25"/>
  <c r="F17" i="25"/>
  <c r="F18" i="25"/>
  <c r="F20" i="25"/>
  <c r="F21" i="25"/>
  <c r="F24" i="25"/>
  <c r="F10" i="25"/>
  <c r="F19" i="25"/>
  <c r="F25" i="25"/>
  <c r="F12" i="25"/>
  <c r="F22" i="25"/>
  <c r="F23" i="25"/>
  <c r="F26" i="25"/>
  <c r="G26" i="25" l="1"/>
  <c r="G23" i="25"/>
  <c r="G22" i="25"/>
  <c r="G12" i="25"/>
  <c r="G25" i="25"/>
  <c r="G19" i="25"/>
  <c r="G10" i="25"/>
  <c r="G24" i="25"/>
  <c r="G21" i="25"/>
  <c r="G20" i="25"/>
  <c r="G18" i="25"/>
  <c r="G17" i="25"/>
  <c r="G15" i="25"/>
  <c r="G13" i="25"/>
  <c r="G11" i="25"/>
  <c r="G16" i="25"/>
  <c r="G14" i="25"/>
  <c r="G9" i="25"/>
  <c r="G8" i="25"/>
  <c r="G7" i="25"/>
  <c r="G6" i="25"/>
  <c r="G5" i="25"/>
  <c r="G4" i="25"/>
  <c r="G27" i="25"/>
  <c r="L5" i="24"/>
  <c r="O25" i="26" s="1"/>
  <c r="L6" i="24"/>
  <c r="O26" i="26" s="1"/>
  <c r="L7" i="24"/>
  <c r="O27" i="26" s="1"/>
  <c r="L4" i="24"/>
  <c r="O24" i="26" s="1"/>
  <c r="K5" i="24"/>
  <c r="N25" i="26" s="1"/>
  <c r="K6" i="24"/>
  <c r="N26" i="26" s="1"/>
  <c r="K7" i="24"/>
  <c r="N27" i="26" s="1"/>
  <c r="K4" i="24"/>
  <c r="N24" i="26" s="1"/>
  <c r="I5" i="24"/>
  <c r="L25" i="26" s="1"/>
  <c r="I6" i="24"/>
  <c r="L26" i="26" s="1"/>
  <c r="I7" i="24"/>
  <c r="L27" i="26" s="1"/>
  <c r="I4" i="24"/>
  <c r="L24" i="26" s="1"/>
  <c r="H5" i="24"/>
  <c r="K25" i="26" s="1"/>
  <c r="H6" i="24"/>
  <c r="K26" i="26" s="1"/>
  <c r="H7" i="24"/>
  <c r="K27" i="26" s="1"/>
  <c r="H4" i="24"/>
  <c r="K24" i="26" s="1"/>
  <c r="M7" i="23"/>
  <c r="O17" i="26" s="1"/>
  <c r="M8" i="23"/>
  <c r="O18" i="26" s="1"/>
  <c r="M9" i="23"/>
  <c r="O19" i="26" s="1"/>
  <c r="M6" i="23"/>
  <c r="O16" i="26" s="1"/>
  <c r="L7" i="23"/>
  <c r="N17" i="26" s="1"/>
  <c r="L8" i="23"/>
  <c r="N18" i="26" s="1"/>
  <c r="L9" i="23"/>
  <c r="N19" i="26" s="1"/>
  <c r="L6" i="23"/>
  <c r="N16" i="26" s="1"/>
  <c r="J7" i="23"/>
  <c r="L17" i="26" s="1"/>
  <c r="J8" i="23"/>
  <c r="L18" i="26" s="1"/>
  <c r="J9" i="23"/>
  <c r="L19" i="26" s="1"/>
  <c r="J6" i="23"/>
  <c r="L16" i="26" s="1"/>
  <c r="I7" i="23"/>
  <c r="K17" i="26" s="1"/>
  <c r="I8" i="23"/>
  <c r="K18" i="26" s="1"/>
  <c r="I9" i="23"/>
  <c r="K19" i="26" s="1"/>
  <c r="I6" i="23"/>
  <c r="K16" i="26" s="1"/>
  <c r="L5" i="21"/>
  <c r="O9" i="26" s="1"/>
  <c r="L6" i="21"/>
  <c r="O10" i="26" s="1"/>
  <c r="L7" i="21"/>
  <c r="O11" i="26" s="1"/>
  <c r="L4" i="21"/>
  <c r="O8" i="26" s="1"/>
  <c r="H5" i="21"/>
  <c r="K9" i="26" s="1"/>
  <c r="H6" i="21"/>
  <c r="K10" i="26" s="1"/>
  <c r="H7" i="21"/>
  <c r="K11" i="26" s="1"/>
  <c r="H4" i="21"/>
  <c r="K8" i="26" s="1"/>
  <c r="K5" i="21"/>
  <c r="N9" i="26" s="1"/>
  <c r="K6" i="21"/>
  <c r="N10" i="26" s="1"/>
  <c r="K7" i="21"/>
  <c r="N11" i="26" s="1"/>
  <c r="K4" i="21"/>
  <c r="N8" i="26" s="1"/>
  <c r="I5" i="21"/>
  <c r="L9" i="26" s="1"/>
  <c r="I6" i="21"/>
  <c r="L10" i="26" s="1"/>
  <c r="I7" i="21"/>
  <c r="L11" i="26" s="1"/>
  <c r="I4" i="21"/>
  <c r="L8" i="26" s="1"/>
  <c r="M5" i="22"/>
  <c r="O13" i="26" s="1"/>
  <c r="M6" i="22"/>
  <c r="O14" i="26" s="1"/>
  <c r="M7" i="22"/>
  <c r="O15" i="26" s="1"/>
  <c r="M4" i="22"/>
  <c r="O12" i="26" s="1"/>
  <c r="L5" i="22"/>
  <c r="N13" i="26" s="1"/>
  <c r="L6" i="22"/>
  <c r="N14" i="26" s="1"/>
  <c r="L7" i="22"/>
  <c r="N15" i="26" s="1"/>
  <c r="L4" i="22"/>
  <c r="N12" i="26" s="1"/>
  <c r="J5" i="22"/>
  <c r="L13" i="26" s="1"/>
  <c r="J6" i="22"/>
  <c r="L14" i="26" s="1"/>
  <c r="J7" i="22"/>
  <c r="L15" i="26" s="1"/>
  <c r="J4" i="22"/>
  <c r="L12" i="26" s="1"/>
  <c r="K9" i="23" l="1"/>
  <c r="K7" i="23"/>
  <c r="K6" i="23"/>
  <c r="K8" i="23"/>
  <c r="K7" i="22"/>
  <c r="K5" i="22"/>
  <c r="K4" i="22"/>
  <c r="K6" i="22"/>
  <c r="J7" i="24"/>
  <c r="M27" i="26" s="1"/>
  <c r="J5" i="24"/>
  <c r="M25" i="26" s="1"/>
  <c r="J4" i="24"/>
  <c r="M24" i="26" s="1"/>
  <c r="J6" i="24"/>
  <c r="M26" i="26" s="1"/>
  <c r="G5" i="21"/>
  <c r="G6" i="21"/>
  <c r="G7" i="21"/>
  <c r="G4" i="21"/>
  <c r="J5" i="20"/>
  <c r="L21" i="26" s="1"/>
  <c r="J6" i="20"/>
  <c r="L22" i="26" s="1"/>
  <c r="J7" i="20"/>
  <c r="L23" i="26" s="1"/>
  <c r="J4" i="20"/>
  <c r="L20" i="26" s="1"/>
  <c r="M5" i="20"/>
  <c r="O21" i="26" s="1"/>
  <c r="M6" i="20"/>
  <c r="O22" i="26" s="1"/>
  <c r="M7" i="20"/>
  <c r="O23" i="26" s="1"/>
  <c r="M4" i="20"/>
  <c r="O20" i="26" s="1"/>
  <c r="L5" i="20"/>
  <c r="N21" i="26" s="1"/>
  <c r="L6" i="20"/>
  <c r="N22" i="26" s="1"/>
  <c r="L7" i="20"/>
  <c r="N23" i="26" s="1"/>
  <c r="L4" i="20"/>
  <c r="N20" i="26" s="1"/>
  <c r="I5" i="20"/>
  <c r="K21" i="26" s="1"/>
  <c r="I6" i="20"/>
  <c r="K22" i="26" s="1"/>
  <c r="I7" i="20"/>
  <c r="K23" i="26" s="1"/>
  <c r="I4" i="20"/>
  <c r="K20" i="26" s="1"/>
  <c r="H5" i="20"/>
  <c r="J21" i="26" s="1"/>
  <c r="H6" i="20"/>
  <c r="J22" i="26" s="1"/>
  <c r="H7" i="20"/>
  <c r="J23" i="26" s="1"/>
  <c r="H4" i="20"/>
  <c r="J20" i="26" s="1"/>
  <c r="J11" i="26" l="1"/>
  <c r="J7" i="21"/>
  <c r="J10" i="26"/>
  <c r="J6" i="21"/>
  <c r="J9" i="26"/>
  <c r="J5" i="21"/>
  <c r="J8" i="26"/>
  <c r="J4" i="21"/>
  <c r="M18" i="26"/>
  <c r="N8" i="23"/>
  <c r="P18" i="26" s="1"/>
  <c r="M17" i="26"/>
  <c r="N7" i="23"/>
  <c r="P17" i="26" s="1"/>
  <c r="M16" i="26"/>
  <c r="N6" i="23"/>
  <c r="P16" i="26" s="1"/>
  <c r="M19" i="26"/>
  <c r="N9" i="23"/>
  <c r="P19" i="26" s="1"/>
  <c r="M14" i="26"/>
  <c r="N6" i="22"/>
  <c r="P14" i="26" s="1"/>
  <c r="M13" i="26"/>
  <c r="N5" i="22"/>
  <c r="P13" i="26" s="1"/>
  <c r="M12" i="26"/>
  <c r="N4" i="22"/>
  <c r="P12" i="26" s="1"/>
  <c r="M15" i="26"/>
  <c r="N7" i="22"/>
  <c r="P15" i="26" s="1"/>
  <c r="M6" i="24"/>
  <c r="P26" i="26" s="1"/>
  <c r="M5" i="24"/>
  <c r="P25" i="26" s="1"/>
  <c r="M4" i="24"/>
  <c r="P24" i="26" s="1"/>
  <c r="M7" i="24"/>
  <c r="P27" i="26" s="1"/>
  <c r="K4" i="20"/>
  <c r="K6" i="20"/>
  <c r="K7" i="20"/>
  <c r="K5" i="20"/>
  <c r="N6" i="20" l="1"/>
  <c r="P22" i="26" s="1"/>
  <c r="M22" i="26"/>
  <c r="N5" i="20"/>
  <c r="P21" i="26" s="1"/>
  <c r="M21" i="26"/>
  <c r="M9" i="26"/>
  <c r="M5" i="21"/>
  <c r="P9" i="26" s="1"/>
  <c r="N7" i="20"/>
  <c r="P23" i="26" s="1"/>
  <c r="M23" i="26"/>
  <c r="N4" i="20"/>
  <c r="P20" i="26" s="1"/>
  <c r="M20" i="26"/>
  <c r="M10" i="26"/>
  <c r="M6" i="21"/>
  <c r="P10" i="26" s="1"/>
  <c r="M11" i="26"/>
  <c r="M7" i="21"/>
  <c r="P11" i="26" s="1"/>
  <c r="M8" i="26"/>
  <c r="M4" i="21"/>
  <c r="P8" i="26" s="1"/>
  <c r="AK27" i="6"/>
  <c r="AJ27" i="6"/>
  <c r="AI27" i="6" s="1"/>
  <c r="AK26" i="6"/>
  <c r="AJ26" i="6"/>
  <c r="AI26" i="6" s="1"/>
  <c r="AK25" i="6"/>
  <c r="AJ25" i="6"/>
  <c r="AK24" i="6"/>
  <c r="AJ24" i="6"/>
  <c r="AK23" i="6"/>
  <c r="AJ23" i="6"/>
  <c r="AK22" i="6"/>
  <c r="AJ22" i="6"/>
  <c r="AI22" i="6" s="1"/>
  <c r="AK21" i="6"/>
  <c r="AJ21" i="6"/>
  <c r="AK20" i="6"/>
  <c r="AJ20" i="6"/>
  <c r="AK19" i="6"/>
  <c r="AJ19" i="6"/>
  <c r="AI19" i="6" s="1"/>
  <c r="AK18" i="6"/>
  <c r="AJ18" i="6"/>
  <c r="AI18" i="6" s="1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K8" i="6"/>
  <c r="AJ8" i="6"/>
  <c r="B5" i="6"/>
  <c r="D7" i="6" s="1"/>
  <c r="AL27" i="4"/>
  <c r="AK27" i="4"/>
  <c r="AL26" i="4"/>
  <c r="AK26" i="4"/>
  <c r="AL25" i="4"/>
  <c r="AK25" i="4"/>
  <c r="AL24" i="4"/>
  <c r="AK24" i="4"/>
  <c r="AL23" i="4"/>
  <c r="AK23" i="4"/>
  <c r="AL22" i="4"/>
  <c r="AK22" i="4"/>
  <c r="AL21" i="4"/>
  <c r="AK21" i="4"/>
  <c r="AL20" i="4"/>
  <c r="AK20" i="4"/>
  <c r="AL19" i="4"/>
  <c r="AK19" i="4"/>
  <c r="AL18" i="4"/>
  <c r="AK18" i="4"/>
  <c r="AL17" i="4"/>
  <c r="AK17" i="4"/>
  <c r="AL16" i="4"/>
  <c r="AK16" i="4"/>
  <c r="AL15" i="4"/>
  <c r="AK15" i="4"/>
  <c r="AL14" i="4"/>
  <c r="AK14" i="4"/>
  <c r="AL13" i="4"/>
  <c r="AK13" i="4"/>
  <c r="AL12" i="4"/>
  <c r="AK12" i="4"/>
  <c r="AL11" i="4"/>
  <c r="AK11" i="4"/>
  <c r="AL10" i="4"/>
  <c r="AK10" i="4"/>
  <c r="AL9" i="4"/>
  <c r="AK9" i="4"/>
  <c r="AL8" i="4"/>
  <c r="AK8" i="4"/>
  <c r="B5" i="4"/>
  <c r="D7" i="4" s="1"/>
  <c r="AJ27" i="5"/>
  <c r="AI27" i="5"/>
  <c r="AJ26" i="5"/>
  <c r="AI26" i="5"/>
  <c r="AJ25" i="5"/>
  <c r="AI25" i="5"/>
  <c r="AJ24" i="5"/>
  <c r="AI24" i="5"/>
  <c r="AJ23" i="5"/>
  <c r="AI23" i="5"/>
  <c r="AJ22" i="5"/>
  <c r="AI22" i="5"/>
  <c r="AJ21" i="5"/>
  <c r="AI21" i="5"/>
  <c r="AJ20" i="5"/>
  <c r="AI20" i="5"/>
  <c r="AJ19" i="5"/>
  <c r="AI19" i="5"/>
  <c r="AJ18" i="5"/>
  <c r="AI18" i="5"/>
  <c r="AJ17" i="5"/>
  <c r="AI17" i="5"/>
  <c r="AJ16" i="5"/>
  <c r="AI16" i="5"/>
  <c r="AJ15" i="5"/>
  <c r="AI15" i="5"/>
  <c r="AJ14" i="5"/>
  <c r="AI14" i="5"/>
  <c r="AJ13" i="5"/>
  <c r="AI13" i="5"/>
  <c r="AJ12" i="5"/>
  <c r="AI12" i="5"/>
  <c r="AJ11" i="5"/>
  <c r="AI11" i="5"/>
  <c r="AJ10" i="5"/>
  <c r="AI10" i="5"/>
  <c r="AJ9" i="5"/>
  <c r="AI9" i="5"/>
  <c r="AJ8" i="5"/>
  <c r="AI8" i="5"/>
  <c r="B5" i="5"/>
  <c r="D7" i="5" s="1"/>
  <c r="AL27" i="14"/>
  <c r="AK27" i="14"/>
  <c r="AL26" i="14"/>
  <c r="AK26" i="14"/>
  <c r="AL25" i="14"/>
  <c r="AK25" i="14"/>
  <c r="AL24" i="14"/>
  <c r="AK24" i="14"/>
  <c r="AL23" i="14"/>
  <c r="AK23" i="14"/>
  <c r="AL22" i="14"/>
  <c r="AK22" i="14"/>
  <c r="AL21" i="14"/>
  <c r="AK21" i="14"/>
  <c r="AL20" i="14"/>
  <c r="AK20" i="14"/>
  <c r="AL19" i="14"/>
  <c r="AK19" i="14"/>
  <c r="AL18" i="14"/>
  <c r="AK18" i="14"/>
  <c r="AL17" i="14"/>
  <c r="AK17" i="14"/>
  <c r="AL16" i="14"/>
  <c r="AK16" i="14"/>
  <c r="AL15" i="14"/>
  <c r="AK15" i="14"/>
  <c r="AL14" i="14"/>
  <c r="AK14" i="14"/>
  <c r="AL13" i="14"/>
  <c r="AK13" i="14"/>
  <c r="AL12" i="14"/>
  <c r="AK12" i="14"/>
  <c r="AL11" i="14"/>
  <c r="AK11" i="14"/>
  <c r="AL10" i="14"/>
  <c r="AK10" i="14"/>
  <c r="AL9" i="14"/>
  <c r="AK9" i="14"/>
  <c r="AL8" i="14"/>
  <c r="AK8" i="14"/>
  <c r="B5" i="14"/>
  <c r="D7" i="14" s="1"/>
  <c r="AK27" i="13"/>
  <c r="AJ27" i="13"/>
  <c r="AK26" i="13"/>
  <c r="AJ26" i="13"/>
  <c r="AK25" i="13"/>
  <c r="AJ25" i="13"/>
  <c r="AK24" i="13"/>
  <c r="AJ24" i="13"/>
  <c r="AK23" i="13"/>
  <c r="AJ23" i="13"/>
  <c r="AK22" i="13"/>
  <c r="AJ22" i="13"/>
  <c r="AK21" i="13"/>
  <c r="AJ21" i="13"/>
  <c r="AK20" i="13"/>
  <c r="AJ20" i="13"/>
  <c r="AK19" i="13"/>
  <c r="AJ19" i="13"/>
  <c r="AK18" i="13"/>
  <c r="AJ18" i="13"/>
  <c r="AK17" i="13"/>
  <c r="AJ17" i="13"/>
  <c r="AK16" i="13"/>
  <c r="AJ16" i="13"/>
  <c r="AK15" i="13"/>
  <c r="AJ15" i="13"/>
  <c r="AK14" i="13"/>
  <c r="AJ14" i="13"/>
  <c r="AK13" i="13"/>
  <c r="AJ13" i="13"/>
  <c r="AK12" i="13"/>
  <c r="AJ12" i="13"/>
  <c r="AK11" i="13"/>
  <c r="AJ11" i="13"/>
  <c r="AK10" i="13"/>
  <c r="AJ10" i="13"/>
  <c r="AK9" i="13"/>
  <c r="AJ9" i="13"/>
  <c r="AK8" i="13"/>
  <c r="AJ8" i="13"/>
  <c r="B5" i="13"/>
  <c r="D7" i="13" s="1"/>
  <c r="AL27" i="12"/>
  <c r="AK27" i="12"/>
  <c r="AL26" i="12"/>
  <c r="AK26" i="12"/>
  <c r="AJ26" i="12"/>
  <c r="AL25" i="12"/>
  <c r="AK25" i="12"/>
  <c r="AJ25" i="12" s="1"/>
  <c r="AL24" i="12"/>
  <c r="AK24" i="12"/>
  <c r="AL23" i="12"/>
  <c r="AK23" i="12"/>
  <c r="AL22" i="12"/>
  <c r="AK22" i="12"/>
  <c r="AL21" i="12"/>
  <c r="AK21" i="12"/>
  <c r="AL20" i="12"/>
  <c r="AK20" i="12"/>
  <c r="AL19" i="12"/>
  <c r="AK19" i="12"/>
  <c r="AL18" i="12"/>
  <c r="AK18" i="12"/>
  <c r="AL17" i="12"/>
  <c r="AK17" i="12"/>
  <c r="AL16" i="12"/>
  <c r="AK16" i="12"/>
  <c r="AL15" i="12"/>
  <c r="AK15" i="12"/>
  <c r="AL14" i="12"/>
  <c r="AK14" i="12"/>
  <c r="AL13" i="12"/>
  <c r="AK13" i="12"/>
  <c r="AL12" i="12"/>
  <c r="AK12" i="12"/>
  <c r="AL11" i="12"/>
  <c r="AK11" i="12"/>
  <c r="AL10" i="12"/>
  <c r="AK10" i="12"/>
  <c r="AL9" i="12"/>
  <c r="AK9" i="12"/>
  <c r="AL8" i="12"/>
  <c r="AK8" i="12"/>
  <c r="B5" i="12"/>
  <c r="D7" i="12" s="1"/>
  <c r="AK27" i="11"/>
  <c r="AJ27" i="11"/>
  <c r="AK26" i="11"/>
  <c r="AJ26" i="11"/>
  <c r="AK25" i="11"/>
  <c r="AJ25" i="11"/>
  <c r="AK24" i="11"/>
  <c r="AJ24" i="11"/>
  <c r="AK23" i="11"/>
  <c r="AJ23" i="11"/>
  <c r="AK22" i="11"/>
  <c r="AJ22" i="11"/>
  <c r="AK21" i="11"/>
  <c r="AJ21" i="11"/>
  <c r="AK20" i="11"/>
  <c r="AJ20" i="11"/>
  <c r="AK19" i="11"/>
  <c r="AJ19" i="11"/>
  <c r="AK18" i="11"/>
  <c r="AJ18" i="11"/>
  <c r="AK17" i="11"/>
  <c r="AJ17" i="11"/>
  <c r="AK16" i="11"/>
  <c r="AJ16" i="11"/>
  <c r="AK15" i="11"/>
  <c r="AJ15" i="11"/>
  <c r="AK14" i="11"/>
  <c r="AJ14" i="11"/>
  <c r="AK13" i="11"/>
  <c r="AJ13" i="11"/>
  <c r="AK12" i="11"/>
  <c r="AJ12" i="11"/>
  <c r="AK11" i="11"/>
  <c r="AJ11" i="11"/>
  <c r="AK10" i="11"/>
  <c r="AJ10" i="11"/>
  <c r="AK9" i="11"/>
  <c r="AJ9" i="11"/>
  <c r="AK8" i="11"/>
  <c r="AJ8" i="11"/>
  <c r="B5" i="11"/>
  <c r="D7" i="11" s="1"/>
  <c r="AL27" i="10"/>
  <c r="AK27" i="10"/>
  <c r="AL26" i="10"/>
  <c r="AK26" i="10"/>
  <c r="AJ26" i="10" s="1"/>
  <c r="AL25" i="10"/>
  <c r="AK25" i="10"/>
  <c r="AL24" i="10"/>
  <c r="AK24" i="10"/>
  <c r="AJ24" i="10" s="1"/>
  <c r="AL23" i="10"/>
  <c r="AK23" i="10"/>
  <c r="AL22" i="10"/>
  <c r="AK22" i="10"/>
  <c r="AJ22" i="10" s="1"/>
  <c r="AL21" i="10"/>
  <c r="AK21" i="10"/>
  <c r="AL20" i="10"/>
  <c r="AK20" i="10"/>
  <c r="AL19" i="10"/>
  <c r="AK19" i="10"/>
  <c r="AL18" i="10"/>
  <c r="AK18" i="10"/>
  <c r="AJ18" i="10" s="1"/>
  <c r="AL17" i="10"/>
  <c r="AK17" i="10"/>
  <c r="AL16" i="10"/>
  <c r="AK16" i="10"/>
  <c r="AL15" i="10"/>
  <c r="AK15" i="10"/>
  <c r="AL14" i="10"/>
  <c r="AK14" i="10"/>
  <c r="AL13" i="10"/>
  <c r="AK13" i="10"/>
  <c r="AL12" i="10"/>
  <c r="AK12" i="10"/>
  <c r="AL11" i="10"/>
  <c r="AK11" i="10"/>
  <c r="AL10" i="10"/>
  <c r="AK10" i="10"/>
  <c r="AJ10" i="10" s="1"/>
  <c r="AL9" i="10"/>
  <c r="AK9" i="10"/>
  <c r="AL8" i="10"/>
  <c r="AK8" i="10"/>
  <c r="B5" i="10"/>
  <c r="D7" i="10" s="1"/>
  <c r="AL27" i="9"/>
  <c r="AK27" i="9"/>
  <c r="AL26" i="9"/>
  <c r="AK26" i="9"/>
  <c r="AL25" i="9"/>
  <c r="AK25" i="9"/>
  <c r="AL24" i="9"/>
  <c r="AK24" i="9"/>
  <c r="AJ24" i="9" s="1"/>
  <c r="AL23" i="9"/>
  <c r="AK23" i="9"/>
  <c r="AL22" i="9"/>
  <c r="AK22" i="9"/>
  <c r="AL21" i="9"/>
  <c r="AK21" i="9"/>
  <c r="AL20" i="9"/>
  <c r="AK20" i="9"/>
  <c r="AJ20" i="9" s="1"/>
  <c r="AL19" i="9"/>
  <c r="AK19" i="9"/>
  <c r="AL18" i="9"/>
  <c r="AK18" i="9"/>
  <c r="AL17" i="9"/>
  <c r="AK17" i="9"/>
  <c r="AL16" i="9"/>
  <c r="AK16" i="9"/>
  <c r="AJ16" i="9" s="1"/>
  <c r="AL15" i="9"/>
  <c r="AK15" i="9"/>
  <c r="AL14" i="9"/>
  <c r="AK14" i="9"/>
  <c r="AL13" i="9"/>
  <c r="AK13" i="9"/>
  <c r="AL12" i="9"/>
  <c r="AK12" i="9"/>
  <c r="AJ12" i="9" s="1"/>
  <c r="AL11" i="9"/>
  <c r="AK11" i="9"/>
  <c r="AL10" i="9"/>
  <c r="AK10" i="9"/>
  <c r="AL9" i="9"/>
  <c r="AK9" i="9"/>
  <c r="AL8" i="9"/>
  <c r="AK8" i="9"/>
  <c r="AJ8" i="9" s="1"/>
  <c r="B5" i="9"/>
  <c r="D7" i="9" s="1"/>
  <c r="AK27" i="8"/>
  <c r="AJ27" i="8"/>
  <c r="AK26" i="8"/>
  <c r="AJ26" i="8"/>
  <c r="AK25" i="8"/>
  <c r="AJ25" i="8"/>
  <c r="AK24" i="8"/>
  <c r="AJ24" i="8"/>
  <c r="AK23" i="8"/>
  <c r="AJ23" i="8"/>
  <c r="AK22" i="8"/>
  <c r="AJ22" i="8"/>
  <c r="AK21" i="8"/>
  <c r="AJ21" i="8"/>
  <c r="AK20" i="8"/>
  <c r="AJ20" i="8"/>
  <c r="AK19" i="8"/>
  <c r="AJ19" i="8"/>
  <c r="AK18" i="8"/>
  <c r="AJ18" i="8"/>
  <c r="AK17" i="8"/>
  <c r="AJ17" i="8"/>
  <c r="AK16" i="8"/>
  <c r="AJ16" i="8"/>
  <c r="AK15" i="8"/>
  <c r="AJ15" i="8"/>
  <c r="AK14" i="8"/>
  <c r="AJ14" i="8"/>
  <c r="AK13" i="8"/>
  <c r="AJ13" i="8"/>
  <c r="AK12" i="8"/>
  <c r="AJ12" i="8"/>
  <c r="AK11" i="8"/>
  <c r="AJ11" i="8"/>
  <c r="AK10" i="8"/>
  <c r="AJ10" i="8"/>
  <c r="AK9" i="8"/>
  <c r="AJ9" i="8"/>
  <c r="AK8" i="8"/>
  <c r="AJ8" i="8"/>
  <c r="B5" i="8"/>
  <c r="D7" i="8" s="1"/>
  <c r="AL27" i="7"/>
  <c r="AK27" i="7"/>
  <c r="AL26" i="7"/>
  <c r="AK26" i="7"/>
  <c r="AL25" i="7"/>
  <c r="AK25" i="7"/>
  <c r="AL24" i="7"/>
  <c r="AK24" i="7"/>
  <c r="AL23" i="7"/>
  <c r="AK23" i="7"/>
  <c r="AL22" i="7"/>
  <c r="AK22" i="7"/>
  <c r="AL21" i="7"/>
  <c r="AK21" i="7"/>
  <c r="AL20" i="7"/>
  <c r="AK20" i="7"/>
  <c r="AL19" i="7"/>
  <c r="AK19" i="7"/>
  <c r="AL18" i="7"/>
  <c r="AK18" i="7"/>
  <c r="AL17" i="7"/>
  <c r="AK17" i="7"/>
  <c r="AL16" i="7"/>
  <c r="AK16" i="7"/>
  <c r="AL15" i="7"/>
  <c r="AK15" i="7"/>
  <c r="AL14" i="7"/>
  <c r="AK14" i="7"/>
  <c r="AL13" i="7"/>
  <c r="AK13" i="7"/>
  <c r="AL12" i="7"/>
  <c r="AK12" i="7"/>
  <c r="AL11" i="7"/>
  <c r="AK11" i="7"/>
  <c r="AL10" i="7"/>
  <c r="AK10" i="7"/>
  <c r="AL9" i="7"/>
  <c r="AK9" i="7"/>
  <c r="AL8" i="7"/>
  <c r="AK8" i="7"/>
  <c r="B5" i="7"/>
  <c r="D7" i="7" s="1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8" i="3"/>
  <c r="B5" i="3"/>
  <c r="C5" i="3" s="1"/>
  <c r="AJ26" i="14" l="1"/>
  <c r="AJ20" i="12"/>
  <c r="I20" i="17"/>
  <c r="AJ15" i="12"/>
  <c r="AJ19" i="12"/>
  <c r="I8" i="17"/>
  <c r="AJ8" i="12"/>
  <c r="AJ16" i="12"/>
  <c r="I24" i="17"/>
  <c r="I12" i="17"/>
  <c r="I16" i="17"/>
  <c r="AJ26" i="7"/>
  <c r="AJ9" i="9"/>
  <c r="AJ13" i="9"/>
  <c r="AJ17" i="9"/>
  <c r="AJ21" i="9"/>
  <c r="AJ25" i="9"/>
  <c r="H7" i="17"/>
  <c r="H11" i="17"/>
  <c r="H15" i="17"/>
  <c r="H19" i="17"/>
  <c r="H23" i="17"/>
  <c r="AI16" i="6"/>
  <c r="AI20" i="6"/>
  <c r="I7" i="17"/>
  <c r="I11" i="17"/>
  <c r="I15" i="17"/>
  <c r="I19" i="17"/>
  <c r="I23" i="17"/>
  <c r="AJ10" i="9"/>
  <c r="AJ14" i="9"/>
  <c r="AJ18" i="9"/>
  <c r="AJ22" i="9"/>
  <c r="AJ26" i="9"/>
  <c r="H8" i="17"/>
  <c r="H12" i="17"/>
  <c r="H16" i="17"/>
  <c r="H20" i="17"/>
  <c r="H24" i="17"/>
  <c r="AJ24" i="12"/>
  <c r="AI17" i="6"/>
  <c r="AI21" i="6"/>
  <c r="AI25" i="6"/>
  <c r="AJ11" i="9"/>
  <c r="AJ15" i="9"/>
  <c r="AJ19" i="9"/>
  <c r="AJ23" i="9"/>
  <c r="AJ27" i="9"/>
  <c r="H9" i="17"/>
  <c r="H13" i="17"/>
  <c r="H17" i="17"/>
  <c r="H25" i="17"/>
  <c r="I9" i="17"/>
  <c r="I13" i="17"/>
  <c r="I17" i="17"/>
  <c r="I25" i="17"/>
  <c r="AJ10" i="12"/>
  <c r="AJ14" i="12"/>
  <c r="H10" i="17"/>
  <c r="H14" i="17"/>
  <c r="H18" i="17"/>
  <c r="H22" i="17"/>
  <c r="H26" i="17"/>
  <c r="I10" i="17"/>
  <c r="I14" i="17"/>
  <c r="I18" i="17"/>
  <c r="I22" i="17"/>
  <c r="I26" i="17"/>
  <c r="H21" i="17"/>
  <c r="I21" i="17"/>
  <c r="AJ8" i="7"/>
  <c r="AJ9" i="7"/>
  <c r="AJ14" i="7"/>
  <c r="AJ16" i="7"/>
  <c r="AJ17" i="7"/>
  <c r="AJ22" i="7"/>
  <c r="AJ24" i="7"/>
  <c r="AJ25" i="7"/>
  <c r="AI20" i="11"/>
  <c r="AI25" i="11"/>
  <c r="AI26" i="11"/>
  <c r="AI27" i="11"/>
  <c r="AJ18" i="12"/>
  <c r="AJ21" i="12"/>
  <c r="AJ23" i="12"/>
  <c r="AJ10" i="14"/>
  <c r="AJ14" i="14"/>
  <c r="AJ16" i="14"/>
  <c r="AJ17" i="14"/>
  <c r="AJ18" i="14"/>
  <c r="AJ20" i="14"/>
  <c r="AJ22" i="14"/>
  <c r="AJ24" i="14"/>
  <c r="AJ25" i="14"/>
  <c r="AJ22" i="12"/>
  <c r="AJ12" i="12"/>
  <c r="AJ11" i="12"/>
  <c r="AJ17" i="12"/>
  <c r="AJ13" i="12"/>
  <c r="AJ27" i="12"/>
  <c r="AJ9" i="12"/>
  <c r="AI24" i="11"/>
  <c r="AJ25" i="10"/>
  <c r="AJ14" i="10"/>
  <c r="AJ9" i="10"/>
  <c r="AI12" i="6"/>
  <c r="AI24" i="6"/>
  <c r="AI20" i="13"/>
  <c r="AI24" i="13"/>
  <c r="AI26" i="13"/>
  <c r="AI27" i="13"/>
  <c r="AI12" i="13"/>
  <c r="AJ9" i="14"/>
  <c r="AJ8" i="14"/>
  <c r="AJ12" i="14"/>
  <c r="AJ13" i="14"/>
  <c r="AJ21" i="14"/>
  <c r="AJ11" i="14"/>
  <c r="AJ15" i="14"/>
  <c r="AJ19" i="14"/>
  <c r="AJ23" i="14"/>
  <c r="AJ27" i="14"/>
  <c r="AI8" i="13"/>
  <c r="AI10" i="13"/>
  <c r="AI11" i="13"/>
  <c r="AI16" i="13"/>
  <c r="AI18" i="13"/>
  <c r="AI19" i="13"/>
  <c r="AI14" i="13"/>
  <c r="AI15" i="13"/>
  <c r="AI22" i="13"/>
  <c r="AI23" i="13"/>
  <c r="AI9" i="13"/>
  <c r="AI13" i="13"/>
  <c r="AI17" i="13"/>
  <c r="AI21" i="13"/>
  <c r="AI25" i="13"/>
  <c r="AI8" i="11"/>
  <c r="AI9" i="11"/>
  <c r="AI10" i="11"/>
  <c r="AI11" i="11"/>
  <c r="AI12" i="11"/>
  <c r="AI13" i="11"/>
  <c r="AI16" i="11"/>
  <c r="AI17" i="11"/>
  <c r="AI18" i="11"/>
  <c r="AI19" i="11"/>
  <c r="AI14" i="11"/>
  <c r="AI15" i="11"/>
  <c r="AI21" i="11"/>
  <c r="AI22" i="11"/>
  <c r="AI23" i="11"/>
  <c r="AJ8" i="10"/>
  <c r="AJ16" i="10"/>
  <c r="AJ17" i="10"/>
  <c r="AJ12" i="10"/>
  <c r="AJ13" i="10"/>
  <c r="AJ20" i="10"/>
  <c r="AJ21" i="10"/>
  <c r="AJ11" i="10"/>
  <c r="AJ15" i="10"/>
  <c r="AJ19" i="10"/>
  <c r="AJ23" i="10"/>
  <c r="AJ27" i="10"/>
  <c r="AI16" i="8"/>
  <c r="AI20" i="8"/>
  <c r="AI22" i="8"/>
  <c r="AI23" i="8"/>
  <c r="AI24" i="8"/>
  <c r="AI26" i="8"/>
  <c r="AI27" i="8"/>
  <c r="AI8" i="8"/>
  <c r="AI12" i="8"/>
  <c r="AI14" i="8"/>
  <c r="AI15" i="8"/>
  <c r="AI10" i="8"/>
  <c r="AI11" i="8"/>
  <c r="AI18" i="8"/>
  <c r="AI19" i="8"/>
  <c r="AI9" i="8"/>
  <c r="AI13" i="8"/>
  <c r="AI17" i="8"/>
  <c r="AI21" i="8"/>
  <c r="AI25" i="8"/>
  <c r="AJ10" i="7"/>
  <c r="AJ18" i="7"/>
  <c r="AJ12" i="7"/>
  <c r="AJ13" i="7"/>
  <c r="AJ20" i="7"/>
  <c r="AJ21" i="7"/>
  <c r="AJ11" i="7"/>
  <c r="AJ15" i="7"/>
  <c r="AJ19" i="7"/>
  <c r="AJ23" i="7"/>
  <c r="AJ27" i="7"/>
  <c r="AI9" i="6"/>
  <c r="AI10" i="6"/>
  <c r="AI11" i="6"/>
  <c r="AI8" i="6"/>
  <c r="AI13" i="6"/>
  <c r="AI14" i="6"/>
  <c r="AI15" i="6"/>
  <c r="AI23" i="6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8" i="4"/>
  <c r="AJ26" i="4"/>
  <c r="AJ25" i="4"/>
  <c r="AH10" i="5"/>
  <c r="AH11" i="5"/>
  <c r="AH12" i="5"/>
  <c r="AH17" i="5"/>
  <c r="AH19" i="5"/>
  <c r="AH20" i="5"/>
  <c r="AH21" i="5"/>
  <c r="AH23" i="5"/>
  <c r="AH24" i="5"/>
  <c r="AH25" i="5"/>
  <c r="AH27" i="5"/>
  <c r="D6" i="4"/>
  <c r="D6" i="6"/>
  <c r="C5" i="4"/>
  <c r="E7" i="4" s="1"/>
  <c r="C5" i="6"/>
  <c r="E7" i="6" s="1"/>
  <c r="AH13" i="5"/>
  <c r="AH8" i="5"/>
  <c r="AH9" i="5"/>
  <c r="AH15" i="5"/>
  <c r="AH16" i="5"/>
  <c r="AH14" i="5"/>
  <c r="AH18" i="5"/>
  <c r="AH22" i="5"/>
  <c r="AH26" i="5"/>
  <c r="D6" i="5"/>
  <c r="C5" i="5"/>
  <c r="E7" i="5" s="1"/>
  <c r="AJ26" i="3"/>
  <c r="AJ24" i="3"/>
  <c r="AJ20" i="3"/>
  <c r="AJ18" i="3"/>
  <c r="AJ16" i="3"/>
  <c r="AJ14" i="3"/>
  <c r="AJ22" i="3"/>
  <c r="D6" i="14"/>
  <c r="C5" i="14"/>
  <c r="E7" i="14" s="1"/>
  <c r="D6" i="13"/>
  <c r="C5" i="13"/>
  <c r="E7" i="13" s="1"/>
  <c r="D6" i="12"/>
  <c r="C5" i="12"/>
  <c r="E7" i="12" s="1"/>
  <c r="D6" i="11"/>
  <c r="C5" i="11"/>
  <c r="E7" i="11" s="1"/>
  <c r="D6" i="10"/>
  <c r="C5" i="10"/>
  <c r="E7" i="10" s="1"/>
  <c r="D6" i="9"/>
  <c r="C5" i="9"/>
  <c r="E7" i="9" s="1"/>
  <c r="D6" i="8"/>
  <c r="C5" i="8"/>
  <c r="E7" i="8" s="1"/>
  <c r="D6" i="7"/>
  <c r="C5" i="7"/>
  <c r="E7" i="7" s="1"/>
  <c r="AJ27" i="3"/>
  <c r="AJ25" i="3"/>
  <c r="AJ23" i="3"/>
  <c r="AJ21" i="3"/>
  <c r="AJ19" i="3"/>
  <c r="AJ17" i="3"/>
  <c r="AJ15" i="3"/>
  <c r="AJ13" i="3"/>
  <c r="AJ9" i="3"/>
  <c r="AJ11" i="3"/>
  <c r="AJ12" i="3"/>
  <c r="AJ10" i="3"/>
  <c r="AJ8" i="3"/>
  <c r="D7" i="3"/>
  <c r="G7" i="17" l="1"/>
  <c r="G16" i="17"/>
  <c r="G18" i="17"/>
  <c r="G8" i="17"/>
  <c r="G17" i="17"/>
  <c r="G26" i="17"/>
  <c r="G25" i="17"/>
  <c r="G22" i="17"/>
  <c r="G15" i="17"/>
  <c r="G24" i="17"/>
  <c r="G12" i="17"/>
  <c r="G19" i="17"/>
  <c r="G20" i="17"/>
  <c r="G11" i="17"/>
  <c r="G23" i="17"/>
  <c r="G14" i="17"/>
  <c r="G10" i="17"/>
  <c r="G13" i="17"/>
  <c r="G9" i="17"/>
  <c r="G21" i="17"/>
  <c r="F7" i="6"/>
  <c r="E6" i="6"/>
  <c r="F7" i="4"/>
  <c r="E6" i="4"/>
  <c r="F7" i="5"/>
  <c r="E6" i="5"/>
  <c r="F7" i="14"/>
  <c r="G7" i="14" s="1"/>
  <c r="E6" i="14"/>
  <c r="F7" i="13"/>
  <c r="E6" i="13"/>
  <c r="F7" i="12"/>
  <c r="E6" i="12"/>
  <c r="F7" i="11"/>
  <c r="E6" i="11"/>
  <c r="F7" i="10"/>
  <c r="E6" i="10"/>
  <c r="F7" i="9"/>
  <c r="E6" i="9"/>
  <c r="F7" i="8"/>
  <c r="E6" i="8"/>
  <c r="F7" i="7"/>
  <c r="E6" i="7"/>
  <c r="E7" i="3"/>
  <c r="D6" i="3"/>
  <c r="G7" i="4" l="1"/>
  <c r="F6" i="4"/>
  <c r="G7" i="6"/>
  <c r="F6" i="6"/>
  <c r="G7" i="5"/>
  <c r="F6" i="5"/>
  <c r="F6" i="14"/>
  <c r="G7" i="13"/>
  <c r="F6" i="13"/>
  <c r="G7" i="12"/>
  <c r="F6" i="12"/>
  <c r="G7" i="11"/>
  <c r="F6" i="11"/>
  <c r="G7" i="10"/>
  <c r="F6" i="10"/>
  <c r="G7" i="9"/>
  <c r="F6" i="9"/>
  <c r="G7" i="8"/>
  <c r="F6" i="8"/>
  <c r="G7" i="7"/>
  <c r="F6" i="7"/>
  <c r="F7" i="3"/>
  <c r="E6" i="3"/>
  <c r="H7" i="6" l="1"/>
  <c r="G6" i="6"/>
  <c r="H7" i="4"/>
  <c r="G6" i="4"/>
  <c r="H7" i="5"/>
  <c r="G6" i="5"/>
  <c r="H7" i="14"/>
  <c r="G6" i="14"/>
  <c r="H7" i="13"/>
  <c r="G6" i="13"/>
  <c r="H7" i="12"/>
  <c r="G6" i="12"/>
  <c r="H7" i="11"/>
  <c r="G6" i="11"/>
  <c r="H7" i="10"/>
  <c r="G6" i="10"/>
  <c r="H7" i="9"/>
  <c r="G6" i="9"/>
  <c r="H7" i="8"/>
  <c r="G6" i="8"/>
  <c r="H7" i="7"/>
  <c r="G6" i="7"/>
  <c r="G7" i="3"/>
  <c r="F6" i="3"/>
  <c r="I7" i="4" l="1"/>
  <c r="H6" i="4"/>
  <c r="I7" i="6"/>
  <c r="H6" i="6"/>
  <c r="I7" i="5"/>
  <c r="H6" i="5"/>
  <c r="I7" i="14"/>
  <c r="H6" i="14"/>
  <c r="I7" i="13"/>
  <c r="H6" i="13"/>
  <c r="I7" i="12"/>
  <c r="H6" i="12"/>
  <c r="I7" i="11"/>
  <c r="H6" i="11"/>
  <c r="I7" i="10"/>
  <c r="H6" i="10"/>
  <c r="I7" i="9"/>
  <c r="H6" i="9"/>
  <c r="I7" i="8"/>
  <c r="H6" i="8"/>
  <c r="I7" i="7"/>
  <c r="H6" i="7"/>
  <c r="H7" i="3"/>
  <c r="G6" i="3"/>
  <c r="J7" i="6" l="1"/>
  <c r="I6" i="6"/>
  <c r="J7" i="4"/>
  <c r="I6" i="4"/>
  <c r="J7" i="5"/>
  <c r="I6" i="5"/>
  <c r="J7" i="14"/>
  <c r="I6" i="14"/>
  <c r="J7" i="13"/>
  <c r="I6" i="13"/>
  <c r="J7" i="12"/>
  <c r="I6" i="12"/>
  <c r="J7" i="11"/>
  <c r="I6" i="11"/>
  <c r="J7" i="10"/>
  <c r="I6" i="10"/>
  <c r="J7" i="9"/>
  <c r="I6" i="9"/>
  <c r="J7" i="8"/>
  <c r="I6" i="8"/>
  <c r="J7" i="7"/>
  <c r="I6" i="7"/>
  <c r="I7" i="3"/>
  <c r="H6" i="3"/>
  <c r="K7" i="4" l="1"/>
  <c r="J6" i="4"/>
  <c r="K7" i="6"/>
  <c r="J6" i="6"/>
  <c r="K7" i="5"/>
  <c r="J6" i="5"/>
  <c r="K7" i="14"/>
  <c r="J6" i="14"/>
  <c r="K7" i="13"/>
  <c r="J6" i="13"/>
  <c r="K7" i="12"/>
  <c r="J6" i="12"/>
  <c r="K7" i="11"/>
  <c r="J6" i="11"/>
  <c r="K7" i="10"/>
  <c r="J6" i="10"/>
  <c r="K7" i="9"/>
  <c r="J6" i="9"/>
  <c r="K7" i="8"/>
  <c r="J6" i="8"/>
  <c r="K7" i="7"/>
  <c r="J6" i="7"/>
  <c r="J7" i="3"/>
  <c r="I6" i="3"/>
  <c r="L7" i="6" l="1"/>
  <c r="K6" i="6"/>
  <c r="L7" i="4"/>
  <c r="K6" i="4"/>
  <c r="L7" i="5"/>
  <c r="K6" i="5"/>
  <c r="L7" i="14"/>
  <c r="K6" i="14"/>
  <c r="L7" i="13"/>
  <c r="K6" i="13"/>
  <c r="L7" i="12"/>
  <c r="K6" i="12"/>
  <c r="L7" i="11"/>
  <c r="K6" i="11"/>
  <c r="L7" i="10"/>
  <c r="K6" i="10"/>
  <c r="L7" i="9"/>
  <c r="K6" i="9"/>
  <c r="L7" i="8"/>
  <c r="K6" i="8"/>
  <c r="L7" i="7"/>
  <c r="K6" i="7"/>
  <c r="K7" i="3"/>
  <c r="J6" i="3"/>
  <c r="M7" i="4" l="1"/>
  <c r="L6" i="4"/>
  <c r="M7" i="6"/>
  <c r="L6" i="6"/>
  <c r="M7" i="5"/>
  <c r="L6" i="5"/>
  <c r="M7" i="14"/>
  <c r="L6" i="14"/>
  <c r="M7" i="13"/>
  <c r="L6" i="13"/>
  <c r="M7" i="12"/>
  <c r="L6" i="12"/>
  <c r="M7" i="11"/>
  <c r="L6" i="11"/>
  <c r="M7" i="10"/>
  <c r="L6" i="10"/>
  <c r="M7" i="9"/>
  <c r="L6" i="9"/>
  <c r="M7" i="8"/>
  <c r="L6" i="8"/>
  <c r="M7" i="7"/>
  <c r="L6" i="7"/>
  <c r="L7" i="3"/>
  <c r="K6" i="3"/>
  <c r="N7" i="6" l="1"/>
  <c r="M6" i="6"/>
  <c r="N7" i="4"/>
  <c r="M6" i="4"/>
  <c r="N7" i="5"/>
  <c r="M6" i="5"/>
  <c r="N7" i="14"/>
  <c r="M6" i="14"/>
  <c r="N7" i="13"/>
  <c r="M6" i="13"/>
  <c r="N7" i="12"/>
  <c r="M6" i="12"/>
  <c r="N7" i="11"/>
  <c r="M6" i="11"/>
  <c r="N7" i="10"/>
  <c r="M6" i="10"/>
  <c r="N7" i="9"/>
  <c r="M6" i="9"/>
  <c r="N7" i="8"/>
  <c r="M6" i="8"/>
  <c r="N7" i="7"/>
  <c r="M6" i="7"/>
  <c r="M7" i="3"/>
  <c r="L6" i="3"/>
  <c r="O7" i="4" l="1"/>
  <c r="N6" i="4"/>
  <c r="O7" i="6"/>
  <c r="N6" i="6"/>
  <c r="O7" i="5"/>
  <c r="N6" i="5"/>
  <c r="O7" i="14"/>
  <c r="N6" i="14"/>
  <c r="O7" i="13"/>
  <c r="N6" i="13"/>
  <c r="O7" i="12"/>
  <c r="N6" i="12"/>
  <c r="O7" i="11"/>
  <c r="N6" i="11"/>
  <c r="O7" i="10"/>
  <c r="N6" i="10"/>
  <c r="O7" i="9"/>
  <c r="N6" i="9"/>
  <c r="O7" i="8"/>
  <c r="N6" i="8"/>
  <c r="O7" i="7"/>
  <c r="N6" i="7"/>
  <c r="N7" i="3"/>
  <c r="M6" i="3"/>
  <c r="P7" i="6" l="1"/>
  <c r="O6" i="6"/>
  <c r="P7" i="4"/>
  <c r="O6" i="4"/>
  <c r="P7" i="5"/>
  <c r="O6" i="5"/>
  <c r="P7" i="14"/>
  <c r="O6" i="14"/>
  <c r="P7" i="13"/>
  <c r="O6" i="13"/>
  <c r="P7" i="12"/>
  <c r="O6" i="12"/>
  <c r="P7" i="11"/>
  <c r="O6" i="11"/>
  <c r="P7" i="10"/>
  <c r="O6" i="10"/>
  <c r="P7" i="9"/>
  <c r="O6" i="9"/>
  <c r="P7" i="8"/>
  <c r="O6" i="8"/>
  <c r="P7" i="7"/>
  <c r="O6" i="7"/>
  <c r="O7" i="3"/>
  <c r="N6" i="3"/>
  <c r="Q7" i="4" l="1"/>
  <c r="P6" i="4"/>
  <c r="Q7" i="6"/>
  <c r="P6" i="6"/>
  <c r="Q7" i="5"/>
  <c r="P6" i="5"/>
  <c r="Q7" i="14"/>
  <c r="P6" i="14"/>
  <c r="Q7" i="13"/>
  <c r="P6" i="13"/>
  <c r="Q7" i="12"/>
  <c r="P6" i="12"/>
  <c r="Q7" i="11"/>
  <c r="P6" i="11"/>
  <c r="Q7" i="10"/>
  <c r="P6" i="10"/>
  <c r="Q7" i="9"/>
  <c r="P6" i="9"/>
  <c r="Q7" i="8"/>
  <c r="P6" i="8"/>
  <c r="Q7" i="7"/>
  <c r="P6" i="7"/>
  <c r="P7" i="3"/>
  <c r="O6" i="3"/>
  <c r="R7" i="6" l="1"/>
  <c r="Q6" i="6"/>
  <c r="R7" i="4"/>
  <c r="Q6" i="4"/>
  <c r="R7" i="5"/>
  <c r="Q6" i="5"/>
  <c r="R7" i="14"/>
  <c r="Q6" i="14"/>
  <c r="R7" i="13"/>
  <c r="Q6" i="13"/>
  <c r="R7" i="12"/>
  <c r="Q6" i="12"/>
  <c r="R7" i="11"/>
  <c r="Q6" i="11"/>
  <c r="R7" i="10"/>
  <c r="Q6" i="10"/>
  <c r="R7" i="9"/>
  <c r="Q6" i="9"/>
  <c r="R7" i="8"/>
  <c r="Q6" i="8"/>
  <c r="R7" i="7"/>
  <c r="Q6" i="7"/>
  <c r="Q7" i="3"/>
  <c r="P6" i="3"/>
  <c r="S7" i="4" l="1"/>
  <c r="R6" i="4"/>
  <c r="S7" i="6"/>
  <c r="R6" i="6"/>
  <c r="S7" i="5"/>
  <c r="R6" i="5"/>
  <c r="S7" i="14"/>
  <c r="R6" i="14"/>
  <c r="S7" i="13"/>
  <c r="R6" i="13"/>
  <c r="S7" i="12"/>
  <c r="R6" i="12"/>
  <c r="S7" i="11"/>
  <c r="R6" i="11"/>
  <c r="S7" i="10"/>
  <c r="R6" i="10"/>
  <c r="S7" i="9"/>
  <c r="R6" i="9"/>
  <c r="S7" i="8"/>
  <c r="R6" i="8"/>
  <c r="S7" i="7"/>
  <c r="R6" i="7"/>
  <c r="R7" i="3"/>
  <c r="Q6" i="3"/>
  <c r="T7" i="6" l="1"/>
  <c r="S6" i="6"/>
  <c r="T7" i="4"/>
  <c r="S6" i="4"/>
  <c r="T7" i="5"/>
  <c r="S6" i="5"/>
  <c r="T7" i="14"/>
  <c r="S6" i="14"/>
  <c r="T7" i="13"/>
  <c r="S6" i="13"/>
  <c r="T7" i="12"/>
  <c r="S6" i="12"/>
  <c r="T7" i="11"/>
  <c r="S6" i="11"/>
  <c r="T7" i="10"/>
  <c r="S6" i="10"/>
  <c r="T7" i="9"/>
  <c r="S6" i="9"/>
  <c r="T7" i="8"/>
  <c r="S6" i="8"/>
  <c r="T7" i="7"/>
  <c r="S6" i="7"/>
  <c r="S7" i="3"/>
  <c r="R6" i="3"/>
  <c r="U7" i="4" l="1"/>
  <c r="T6" i="4"/>
  <c r="U7" i="6"/>
  <c r="T6" i="6"/>
  <c r="U7" i="5"/>
  <c r="T6" i="5"/>
  <c r="U7" i="14"/>
  <c r="T6" i="14"/>
  <c r="U7" i="13"/>
  <c r="T6" i="13"/>
  <c r="U7" i="12"/>
  <c r="T6" i="12"/>
  <c r="U7" i="11"/>
  <c r="T6" i="11"/>
  <c r="U7" i="10"/>
  <c r="T6" i="10"/>
  <c r="U7" i="9"/>
  <c r="T6" i="9"/>
  <c r="U7" i="8"/>
  <c r="T6" i="8"/>
  <c r="U7" i="7"/>
  <c r="T6" i="7"/>
  <c r="T7" i="3"/>
  <c r="S6" i="3"/>
  <c r="V7" i="6" l="1"/>
  <c r="U6" i="6"/>
  <c r="V7" i="4"/>
  <c r="U6" i="4"/>
  <c r="V7" i="5"/>
  <c r="U6" i="5"/>
  <c r="V7" i="14"/>
  <c r="U6" i="14"/>
  <c r="V7" i="13"/>
  <c r="U6" i="13"/>
  <c r="V7" i="12"/>
  <c r="U6" i="12"/>
  <c r="V7" i="11"/>
  <c r="U6" i="11"/>
  <c r="V7" i="10"/>
  <c r="U6" i="10"/>
  <c r="V7" i="9"/>
  <c r="U6" i="9"/>
  <c r="V7" i="8"/>
  <c r="U6" i="8"/>
  <c r="V7" i="7"/>
  <c r="U6" i="7"/>
  <c r="U7" i="3"/>
  <c r="T6" i="3"/>
  <c r="W7" i="4" l="1"/>
  <c r="V6" i="4"/>
  <c r="W7" i="6"/>
  <c r="V6" i="6"/>
  <c r="W7" i="5"/>
  <c r="V6" i="5"/>
  <c r="W7" i="14"/>
  <c r="V6" i="14"/>
  <c r="W7" i="13"/>
  <c r="V6" i="13"/>
  <c r="W7" i="12"/>
  <c r="V6" i="12"/>
  <c r="W7" i="11"/>
  <c r="V6" i="11"/>
  <c r="W7" i="10"/>
  <c r="V6" i="10"/>
  <c r="W7" i="9"/>
  <c r="V6" i="9"/>
  <c r="W7" i="8"/>
  <c r="V6" i="8"/>
  <c r="W7" i="7"/>
  <c r="V6" i="7"/>
  <c r="V7" i="3"/>
  <c r="U6" i="3"/>
  <c r="X7" i="6" l="1"/>
  <c r="W6" i="6"/>
  <c r="X7" i="4"/>
  <c r="W6" i="4"/>
  <c r="X7" i="5"/>
  <c r="W6" i="5"/>
  <c r="X7" i="14"/>
  <c r="W6" i="14"/>
  <c r="X7" i="13"/>
  <c r="W6" i="13"/>
  <c r="X7" i="12"/>
  <c r="W6" i="12"/>
  <c r="X7" i="11"/>
  <c r="W6" i="11"/>
  <c r="X7" i="10"/>
  <c r="W6" i="10"/>
  <c r="X7" i="9"/>
  <c r="W6" i="9"/>
  <c r="X7" i="8"/>
  <c r="W6" i="8"/>
  <c r="X7" i="7"/>
  <c r="W6" i="7"/>
  <c r="W7" i="3"/>
  <c r="V6" i="3"/>
  <c r="Y7" i="4" l="1"/>
  <c r="X6" i="4"/>
  <c r="Y7" i="6"/>
  <c r="X6" i="6"/>
  <c r="Y7" i="5"/>
  <c r="X6" i="5"/>
  <c r="Y7" i="14"/>
  <c r="X6" i="14"/>
  <c r="Y7" i="13"/>
  <c r="X6" i="13"/>
  <c r="Y7" i="12"/>
  <c r="X6" i="12"/>
  <c r="Y7" i="11"/>
  <c r="X6" i="11"/>
  <c r="Y7" i="10"/>
  <c r="X6" i="10"/>
  <c r="Y7" i="9"/>
  <c r="X6" i="9"/>
  <c r="Y7" i="8"/>
  <c r="X6" i="8"/>
  <c r="Y7" i="7"/>
  <c r="X6" i="7"/>
  <c r="X7" i="3"/>
  <c r="W6" i="3"/>
  <c r="Z7" i="6" l="1"/>
  <c r="Y6" i="6"/>
  <c r="Z7" i="4"/>
  <c r="Y6" i="4"/>
  <c r="Z7" i="5"/>
  <c r="Y6" i="5"/>
  <c r="Z7" i="14"/>
  <c r="Y6" i="14"/>
  <c r="Z7" i="13"/>
  <c r="Y6" i="13"/>
  <c r="Z7" i="12"/>
  <c r="Y6" i="12"/>
  <c r="Z7" i="11"/>
  <c r="Y6" i="11"/>
  <c r="Z7" i="10"/>
  <c r="Y6" i="10"/>
  <c r="Z7" i="9"/>
  <c r="Y6" i="9"/>
  <c r="Z7" i="8"/>
  <c r="Y6" i="8"/>
  <c r="Z7" i="7"/>
  <c r="Y6" i="7"/>
  <c r="Y7" i="3"/>
  <c r="X6" i="3"/>
  <c r="AA7" i="4" l="1"/>
  <c r="Z6" i="4"/>
  <c r="AA7" i="6"/>
  <c r="Z6" i="6"/>
  <c r="AA7" i="5"/>
  <c r="Z6" i="5"/>
  <c r="AA7" i="14"/>
  <c r="Z6" i="14"/>
  <c r="AA7" i="13"/>
  <c r="Z6" i="13"/>
  <c r="AA7" i="12"/>
  <c r="Z6" i="12"/>
  <c r="AA7" i="11"/>
  <c r="Z6" i="11"/>
  <c r="AA7" i="10"/>
  <c r="Z6" i="10"/>
  <c r="AA7" i="9"/>
  <c r="Z6" i="9"/>
  <c r="AA7" i="8"/>
  <c r="Z6" i="8"/>
  <c r="AA7" i="7"/>
  <c r="Z6" i="7"/>
  <c r="Z7" i="3"/>
  <c r="Y6" i="3"/>
  <c r="AB7" i="6" l="1"/>
  <c r="AA6" i="6"/>
  <c r="AB7" i="4"/>
  <c r="AA6" i="4"/>
  <c r="AB7" i="5"/>
  <c r="AA6" i="5"/>
  <c r="AB7" i="14"/>
  <c r="AA6" i="14"/>
  <c r="AB7" i="13"/>
  <c r="AA6" i="13"/>
  <c r="AB7" i="12"/>
  <c r="AA6" i="12"/>
  <c r="AB7" i="11"/>
  <c r="AA6" i="11"/>
  <c r="AB7" i="10"/>
  <c r="AA6" i="10"/>
  <c r="AB7" i="9"/>
  <c r="AA6" i="9"/>
  <c r="AB7" i="8"/>
  <c r="AA6" i="8"/>
  <c r="AB7" i="7"/>
  <c r="AA6" i="7"/>
  <c r="AA7" i="3"/>
  <c r="Z6" i="3"/>
  <c r="AC7" i="4" l="1"/>
  <c r="AB6" i="4"/>
  <c r="AC7" i="6"/>
  <c r="AB6" i="6"/>
  <c r="AC7" i="5"/>
  <c r="AB6" i="5"/>
  <c r="AC7" i="14"/>
  <c r="AB6" i="14"/>
  <c r="AC7" i="13"/>
  <c r="AB6" i="13"/>
  <c r="AC7" i="12"/>
  <c r="AB6" i="12"/>
  <c r="AC7" i="11"/>
  <c r="AB6" i="11"/>
  <c r="AC7" i="10"/>
  <c r="AB6" i="10"/>
  <c r="AC7" i="9"/>
  <c r="AB6" i="9"/>
  <c r="AC7" i="8"/>
  <c r="AB6" i="8"/>
  <c r="AC7" i="7"/>
  <c r="AB6" i="7"/>
  <c r="AB7" i="3"/>
  <c r="AA6" i="3"/>
  <c r="AD7" i="6" l="1"/>
  <c r="AC6" i="6"/>
  <c r="AD7" i="4"/>
  <c r="AC6" i="4"/>
  <c r="AD7" i="5"/>
  <c r="AC6" i="5"/>
  <c r="AD7" i="14"/>
  <c r="AC6" i="14"/>
  <c r="AD7" i="13"/>
  <c r="AC6" i="13"/>
  <c r="AD7" i="12"/>
  <c r="AC6" i="12"/>
  <c r="AD7" i="11"/>
  <c r="AC6" i="11"/>
  <c r="AD7" i="10"/>
  <c r="AC6" i="10"/>
  <c r="AD7" i="9"/>
  <c r="AC6" i="9"/>
  <c r="AD7" i="8"/>
  <c r="AC6" i="8"/>
  <c r="AD7" i="7"/>
  <c r="AC6" i="7"/>
  <c r="AC7" i="3"/>
  <c r="AB6" i="3"/>
  <c r="AE7" i="4" l="1"/>
  <c r="AD6" i="4"/>
  <c r="AE7" i="6"/>
  <c r="AD6" i="6"/>
  <c r="AE7" i="5"/>
  <c r="AD6" i="5"/>
  <c r="AE7" i="14"/>
  <c r="AD6" i="14"/>
  <c r="AE7" i="13"/>
  <c r="AD6" i="13"/>
  <c r="AE7" i="12"/>
  <c r="AD6" i="12"/>
  <c r="AE7" i="11"/>
  <c r="AD6" i="11"/>
  <c r="AE7" i="10"/>
  <c r="AD6" i="10"/>
  <c r="AE7" i="9"/>
  <c r="AD6" i="9"/>
  <c r="AE7" i="8"/>
  <c r="AD6" i="8"/>
  <c r="AE7" i="7"/>
  <c r="AD6" i="7"/>
  <c r="AD7" i="3"/>
  <c r="AC6" i="3"/>
  <c r="AF7" i="6" l="1"/>
  <c r="AE6" i="6"/>
  <c r="AF7" i="4"/>
  <c r="AE6" i="4"/>
  <c r="AF7" i="5"/>
  <c r="AE6" i="5"/>
  <c r="AF7" i="14"/>
  <c r="AE6" i="14"/>
  <c r="AF7" i="13"/>
  <c r="AE6" i="13"/>
  <c r="AF7" i="12"/>
  <c r="AE6" i="12"/>
  <c r="AF7" i="11"/>
  <c r="AE6" i="11"/>
  <c r="AF7" i="10"/>
  <c r="AE6" i="10"/>
  <c r="AF7" i="9"/>
  <c r="AE6" i="9"/>
  <c r="AF7" i="8"/>
  <c r="AE6" i="8"/>
  <c r="AF7" i="7"/>
  <c r="AE6" i="7"/>
  <c r="AE7" i="3"/>
  <c r="AD6" i="3"/>
  <c r="AG7" i="4" l="1"/>
  <c r="AF6" i="4"/>
  <c r="AG7" i="6"/>
  <c r="AF6" i="6"/>
  <c r="AF6" i="5"/>
  <c r="AG7" i="14"/>
  <c r="AF6" i="14"/>
  <c r="AG7" i="13"/>
  <c r="AF6" i="13"/>
  <c r="AG7" i="12"/>
  <c r="AF6" i="12"/>
  <c r="AG7" i="11"/>
  <c r="AF6" i="11"/>
  <c r="AG7" i="10"/>
  <c r="AF6" i="10"/>
  <c r="AG7" i="9"/>
  <c r="AF6" i="9"/>
  <c r="AG7" i="8"/>
  <c r="AF6" i="8"/>
  <c r="AG7" i="7"/>
  <c r="AF6" i="7"/>
  <c r="AF7" i="3"/>
  <c r="AE6" i="3"/>
  <c r="AG6" i="6" l="1"/>
  <c r="AH7" i="4"/>
  <c r="AH6" i="4" s="1"/>
  <c r="AG6" i="4"/>
  <c r="AH7" i="14"/>
  <c r="AH6" i="14" s="1"/>
  <c r="AG6" i="14"/>
  <c r="AG6" i="13"/>
  <c r="AH7" i="12"/>
  <c r="AH6" i="12" s="1"/>
  <c r="AG6" i="12"/>
  <c r="AG6" i="11"/>
  <c r="AH7" i="10"/>
  <c r="AH6" i="10" s="1"/>
  <c r="AG6" i="10"/>
  <c r="AH7" i="9"/>
  <c r="AH6" i="9" s="1"/>
  <c r="AG6" i="9"/>
  <c r="AG6" i="8"/>
  <c r="AH7" i="7"/>
  <c r="AH6" i="7" s="1"/>
  <c r="AG6" i="7"/>
  <c r="AG7" i="3"/>
  <c r="AF6" i="3"/>
  <c r="AH7" i="3" l="1"/>
  <c r="AH6" i="3" s="1"/>
  <c r="AG6" i="3"/>
</calcChain>
</file>

<file path=xl/sharedStrings.xml><?xml version="1.0" encoding="utf-8"?>
<sst xmlns="http://schemas.openxmlformats.org/spreadsheetml/2006/main" count="7237" uniqueCount="124">
  <si>
    <t>HR EMPLOYEE DATABASE WITH AUTOMATED REPORTS</t>
  </si>
  <si>
    <t xml:space="preserve">    MINI PROJECT TITLE</t>
  </si>
  <si>
    <t>Employee Id</t>
  </si>
  <si>
    <t>FirstName</t>
  </si>
  <si>
    <t>Uriah</t>
  </si>
  <si>
    <t>Paula</t>
  </si>
  <si>
    <t>Edward</t>
  </si>
  <si>
    <t>Michael</t>
  </si>
  <si>
    <t>Jasmine</t>
  </si>
  <si>
    <t>Maruk</t>
  </si>
  <si>
    <t>Latia</t>
  </si>
  <si>
    <t>Sharlene</t>
  </si>
  <si>
    <t>Jac</t>
  </si>
  <si>
    <t>Joseph</t>
  </si>
  <si>
    <t>Myriam</t>
  </si>
  <si>
    <t>Dheepa</t>
  </si>
  <si>
    <t>Bartholemew</t>
  </si>
  <si>
    <t>Xana</t>
  </si>
  <si>
    <t>Prater</t>
  </si>
  <si>
    <t>Kaylah</t>
  </si>
  <si>
    <t>Kristen</t>
  </si>
  <si>
    <t>Bobby</t>
  </si>
  <si>
    <t>Reid</t>
  </si>
  <si>
    <t>Hector</t>
  </si>
  <si>
    <t>LastName</t>
  </si>
  <si>
    <t>Age</t>
  </si>
  <si>
    <t>Gender</t>
  </si>
  <si>
    <t>Department</t>
  </si>
  <si>
    <t>Job Title</t>
  </si>
  <si>
    <t>StartDate</t>
  </si>
  <si>
    <t>EmployeeStatus</t>
  </si>
  <si>
    <t>Bridges</t>
  </si>
  <si>
    <t>Female</t>
  </si>
  <si>
    <t>HR</t>
  </si>
  <si>
    <t>Manager</t>
  </si>
  <si>
    <t>Active</t>
  </si>
  <si>
    <t>Small</t>
  </si>
  <si>
    <t>Male</t>
  </si>
  <si>
    <t>Finance</t>
  </si>
  <si>
    <t>Analyst</t>
  </si>
  <si>
    <t>Buck</t>
  </si>
  <si>
    <t>IT</t>
  </si>
  <si>
    <t>Developer</t>
  </si>
  <si>
    <t>Riordan</t>
  </si>
  <si>
    <t>Marketing</t>
  </si>
  <si>
    <t>Executive</t>
  </si>
  <si>
    <t>Onque</t>
  </si>
  <si>
    <t>Sales</t>
  </si>
  <si>
    <t>Representative</t>
  </si>
  <si>
    <t>Fraval</t>
  </si>
  <si>
    <t>Costa</t>
  </si>
  <si>
    <t>Terry</t>
  </si>
  <si>
    <t>McKinzie</t>
  </si>
  <si>
    <t>Martins</t>
  </si>
  <si>
    <t>Givens</t>
  </si>
  <si>
    <t>Nguyen</t>
  </si>
  <si>
    <t>Khemmich</t>
  </si>
  <si>
    <t>Potts</t>
  </si>
  <si>
    <t>Jeremy</t>
  </si>
  <si>
    <t>Moon</t>
  </si>
  <si>
    <t>Tate</t>
  </si>
  <si>
    <t>Rodgers</t>
  </si>
  <si>
    <t>Park</t>
  </si>
  <si>
    <t>Dalton</t>
  </si>
  <si>
    <t>MONTH</t>
  </si>
  <si>
    <t>YEAR</t>
  </si>
  <si>
    <t>JANUARY</t>
  </si>
  <si>
    <t>FEBRUARY</t>
  </si>
  <si>
    <t>MAY</t>
  </si>
  <si>
    <t>TOTAL DAYS</t>
  </si>
  <si>
    <t>P</t>
  </si>
  <si>
    <t>A</t>
  </si>
  <si>
    <t>EMPLOYEE ATTENDANCE TRACKER</t>
  </si>
  <si>
    <t>AUGUST</t>
  </si>
  <si>
    <t>MARCH</t>
  </si>
  <si>
    <t>APRIL</t>
  </si>
  <si>
    <t>JUNE</t>
  </si>
  <si>
    <t>JULY</t>
  </si>
  <si>
    <t>NOVEMBER</t>
  </si>
  <si>
    <t>SEPTEMBER</t>
  </si>
  <si>
    <t>DECEMBER</t>
  </si>
  <si>
    <t>Name</t>
  </si>
  <si>
    <t>EMPLOYEE ANNUAL ATTENDANCE TRACKER</t>
  </si>
  <si>
    <t>EMPLOYEEE ANNUAL LEAVE TRACKER</t>
  </si>
  <si>
    <t>HR DEPARTMENT</t>
  </si>
  <si>
    <t>FINANCE DEPARTMENT</t>
  </si>
  <si>
    <t>IT DEPARTMENT</t>
  </si>
  <si>
    <t>MARKETING DEPARTMENT</t>
  </si>
  <si>
    <t>SALES DEPARTMENT</t>
  </si>
  <si>
    <t>EMPLOYEE  DETAILS</t>
  </si>
  <si>
    <t>DEPARTMENTAL SEGREGATION</t>
  </si>
  <si>
    <t xml:space="preserve">                 SAP MULTINATIONAL SOFTWARE COMPANY</t>
  </si>
  <si>
    <t>YEAR-2024</t>
  </si>
  <si>
    <t>SAP</t>
  </si>
  <si>
    <t>PF</t>
  </si>
  <si>
    <t>HRA</t>
  </si>
  <si>
    <t xml:space="preserve">HR DEPARTMENT   </t>
  </si>
  <si>
    <t>PROVIDENT FUND PF</t>
  </si>
  <si>
    <t>HOUSE RENT ALLOWANCE                       HRA</t>
  </si>
  <si>
    <t>TABLE OF CONTENTS</t>
  </si>
  <si>
    <t>S.NO</t>
  </si>
  <si>
    <t>DA</t>
  </si>
  <si>
    <t>Tax</t>
  </si>
  <si>
    <t>Net Salary</t>
  </si>
  <si>
    <t>GROSS SALARY</t>
  </si>
  <si>
    <t>10% Bonus</t>
  </si>
  <si>
    <t>Gross salary</t>
  </si>
  <si>
    <t>tax</t>
  </si>
  <si>
    <t>Basic Salary</t>
  </si>
  <si>
    <t>10%bonus</t>
  </si>
  <si>
    <t>Net salary</t>
  </si>
  <si>
    <t>Employee Salary Summary</t>
  </si>
  <si>
    <t xml:space="preserve"> Basic Salary</t>
  </si>
  <si>
    <t>PRESENT DAYS</t>
  </si>
  <si>
    <t>ABSENT DAYS</t>
  </si>
  <si>
    <t>Basic Salary(Before deductions)</t>
  </si>
  <si>
    <t>Net Salary(After deductions+10%Bonus)</t>
  </si>
  <si>
    <t>:</t>
  </si>
  <si>
    <t>Total Working Days (2024)</t>
  </si>
  <si>
    <t>AUTOMATED REPORTS</t>
  </si>
  <si>
    <t>Basic salary</t>
  </si>
  <si>
    <t>OCTOBER</t>
  </si>
  <si>
    <t>SALARY(HR DEPT)</t>
  </si>
  <si>
    <t>SHEETS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</si>
</sst>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_ [$€-2]\ * #,##0.00_ ;_ [$€-2]\ * \-#,##0.00_ ;_ [$€-2]\ * &quot;-&quot;??_ ;_ @_ "/>
  </numFmts>
  <fonts count="51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9" tint="-0.249977111117893"/>
      <name val="Arial Black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72"/>
      <color rgb="FFC00000"/>
      <name val="Arial Black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Times New Roman"/>
      <family val="1"/>
    </font>
    <font>
      <sz val="72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48"/>
      <color rgb="FFC00000"/>
      <name val="Arial Black"/>
      <family val="2"/>
    </font>
    <font>
      <b/>
      <sz val="36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color theme="1"/>
      <name val="Times New Roman"/>
      <family val="1"/>
    </font>
    <font>
      <u/>
      <sz val="28"/>
      <color rgb="FF00B0F0"/>
      <name val="Calibri"/>
      <family val="2"/>
      <scheme val="minor"/>
    </font>
    <font>
      <b/>
      <u/>
      <sz val="28"/>
      <color rgb="FF00B0F0"/>
      <name val="Calibri"/>
      <family val="2"/>
      <scheme val="minor"/>
    </font>
    <font>
      <b/>
      <u/>
      <sz val="26"/>
      <color rgb="FF00B0F0"/>
      <name val="Calibri"/>
      <family val="2"/>
      <scheme val="minor"/>
    </font>
    <font>
      <b/>
      <u/>
      <sz val="24"/>
      <color rgb="FF00B0F0"/>
      <name val="Calibri"/>
      <family val="2"/>
      <scheme val="minor"/>
    </font>
    <font>
      <b/>
      <u/>
      <sz val="22"/>
      <color rgb="FF00B0F0"/>
      <name val="Calibri"/>
      <family val="2"/>
      <scheme val="minor"/>
    </font>
    <font>
      <b/>
      <u/>
      <sz val="20"/>
      <color rgb="FF00B0F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b/>
      <u/>
      <sz val="16"/>
      <color rgb="FF00B0F0"/>
      <name val="Calibri"/>
      <family val="2"/>
      <scheme val="minor"/>
    </font>
    <font>
      <u/>
      <sz val="20"/>
      <color rgb="FF00B0F0"/>
      <name val="Calibri"/>
      <family val="2"/>
      <scheme val="minor"/>
    </font>
    <font>
      <b/>
      <u/>
      <sz val="36"/>
      <color rgb="FF00B0F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u/>
      <sz val="36"/>
      <color theme="10"/>
      <name val="Calibri"/>
      <family val="2"/>
      <scheme val="minor"/>
    </font>
    <font>
      <b/>
      <u/>
      <sz val="22"/>
      <color theme="10"/>
      <name val="Calibri"/>
      <family val="2"/>
      <scheme val="minor"/>
    </font>
    <font>
      <sz val="4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6" fillId="0" borderId="0" applyNumberFormat="0" applyFill="0" applyBorder="0" applyAlignment="0" applyProtection="0"/>
  </cellStyleXfs>
  <cellXfs count="356">
    <xf numFmtId="0" fontId="0" fillId="0" borderId="0" xfId="0"/>
    <xf numFmtId="0" fontId="10" fillId="6" borderId="1" xfId="0" applyFont="1" applyFill="1" applyBorder="1" applyAlignment="1">
      <alignment horizontal="center"/>
    </xf>
    <xf numFmtId="14" fontId="5" fillId="0" borderId="1" xfId="0" applyNumberFormat="1" applyFont="1" applyBorder="1"/>
    <xf numFmtId="14" fontId="5" fillId="0" borderId="10" xfId="0" applyNumberFormat="1" applyFont="1" applyBorder="1"/>
    <xf numFmtId="0" fontId="5" fillId="0" borderId="0" xfId="0" applyFont="1" applyAlignment="1">
      <alignment horizontal="center" textRotation="90"/>
    </xf>
    <xf numFmtId="0" fontId="5" fillId="0" borderId="0" xfId="0" applyFont="1"/>
    <xf numFmtId="164" fontId="5" fillId="0" borderId="0" xfId="0" applyNumberFormat="1" applyFont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9" fillId="0" borderId="5" xfId="0" applyFont="1" applyBorder="1" applyAlignment="1">
      <alignment horizontal="center" vertical="center"/>
    </xf>
    <xf numFmtId="0" fontId="4" fillId="7" borderId="10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1" xfId="0" applyFont="1" applyBorder="1" applyAlignment="1">
      <alignment horizontal="center" textRotation="90"/>
    </xf>
    <xf numFmtId="0" fontId="3" fillId="0" borderId="1" xfId="0" applyFont="1" applyBorder="1"/>
    <xf numFmtId="164" fontId="3" fillId="0" borderId="1" xfId="0" applyNumberFormat="1" applyFont="1" applyBorder="1" applyAlignment="1">
      <alignment horizontal="center"/>
    </xf>
    <xf numFmtId="14" fontId="4" fillId="0" borderId="10" xfId="0" applyNumberFormat="1" applyFont="1" applyBorder="1"/>
    <xf numFmtId="14" fontId="4" fillId="0" borderId="1" xfId="0" applyNumberFormat="1" applyFont="1" applyBorder="1"/>
    <xf numFmtId="0" fontId="4" fillId="0" borderId="0" xfId="0" applyFont="1" applyAlignment="1">
      <alignment horizontal="center" textRotation="90"/>
    </xf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textRotation="90"/>
    </xf>
    <xf numFmtId="0" fontId="12" fillId="0" borderId="1" xfId="0" applyFont="1" applyBorder="1"/>
    <xf numFmtId="164" fontId="12" fillId="0" borderId="1" xfId="0" applyNumberFormat="1" applyFont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6" fillId="7" borderId="10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0" fillId="6" borderId="10" xfId="0" applyFont="1" applyFill="1" applyBorder="1" applyAlignment="1">
      <alignment horizontal="center"/>
    </xf>
    <xf numFmtId="0" fontId="20" fillId="6" borderId="1" xfId="0" applyFont="1" applyFill="1" applyBorder="1" applyAlignment="1">
      <alignment horizontal="center"/>
    </xf>
    <xf numFmtId="0" fontId="3" fillId="0" borderId="0" xfId="0" applyFont="1" applyAlignment="1">
      <alignment horizontal="center" textRotation="90"/>
    </xf>
    <xf numFmtId="164" fontId="3" fillId="0" borderId="0" xfId="0" applyNumberFormat="1" applyFont="1" applyAlignment="1">
      <alignment horizontal="center"/>
    </xf>
    <xf numFmtId="0" fontId="21" fillId="7" borderId="10" xfId="0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14" fontId="6" fillId="0" borderId="10" xfId="0" applyNumberFormat="1" applyFont="1" applyBorder="1"/>
    <xf numFmtId="14" fontId="6" fillId="0" borderId="1" xfId="0" applyNumberFormat="1" applyFont="1" applyBorder="1"/>
    <xf numFmtId="0" fontId="14" fillId="8" borderId="0" xfId="0" applyFont="1" applyFill="1"/>
    <xf numFmtId="0" fontId="15" fillId="8" borderId="0" xfId="0" applyFont="1" applyFill="1"/>
    <xf numFmtId="0" fontId="0" fillId="8" borderId="0" xfId="0" applyFill="1"/>
    <xf numFmtId="0" fontId="16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7" fillId="5" borderId="1" xfId="0" applyFont="1" applyFill="1" applyBorder="1" applyAlignment="1">
      <alignment horizontal="center"/>
    </xf>
    <xf numFmtId="15" fontId="17" fillId="5" borderId="1" xfId="0" quotePrefix="1" applyNumberFormat="1" applyFont="1" applyFill="1" applyBorder="1" applyAlignment="1">
      <alignment horizontal="center"/>
    </xf>
    <xf numFmtId="15" fontId="17" fillId="5" borderId="1" xfId="0" applyNumberFormat="1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15" fontId="16" fillId="5" borderId="1" xfId="0" applyNumberFormat="1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16" xfId="0" applyFont="1" applyFill="1" applyBorder="1" applyAlignment="1">
      <alignment horizontal="center"/>
    </xf>
    <xf numFmtId="0" fontId="17" fillId="5" borderId="10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8" xfId="0" applyFont="1" applyFill="1" applyBorder="1" applyAlignment="1">
      <alignment horizontal="center"/>
    </xf>
    <xf numFmtId="15" fontId="17" fillId="5" borderId="18" xfId="0" applyNumberFormat="1" applyFont="1" applyFill="1" applyBorder="1" applyAlignment="1">
      <alignment horizontal="center"/>
    </xf>
    <xf numFmtId="0" fontId="17" fillId="5" borderId="1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6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8" xfId="0" applyFont="1" applyFill="1" applyBorder="1" applyAlignment="1">
      <alignment horizontal="center"/>
    </xf>
    <xf numFmtId="15" fontId="16" fillId="5" borderId="18" xfId="0" applyNumberFormat="1" applyFont="1" applyFill="1" applyBorder="1" applyAlignment="1">
      <alignment horizontal="center"/>
    </xf>
    <xf numFmtId="0" fontId="16" fillId="5" borderId="19" xfId="0" applyFont="1" applyFill="1" applyBorder="1" applyAlignment="1">
      <alignment horizontal="center"/>
    </xf>
    <xf numFmtId="0" fontId="21" fillId="5" borderId="1" xfId="0" applyFont="1" applyFill="1" applyBorder="1" applyAlignment="1">
      <alignment horizontal="center"/>
    </xf>
    <xf numFmtId="15" fontId="21" fillId="5" borderId="1" xfId="0" quotePrefix="1" applyNumberFormat="1" applyFont="1" applyFill="1" applyBorder="1" applyAlignment="1">
      <alignment horizontal="center"/>
    </xf>
    <xf numFmtId="15" fontId="21" fillId="5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 textRotation="90"/>
    </xf>
    <xf numFmtId="164" fontId="7" fillId="0" borderId="0" xfId="0" applyNumberFormat="1" applyFont="1" applyAlignment="1">
      <alignment horizontal="center"/>
    </xf>
    <xf numFmtId="0" fontId="0" fillId="0" borderId="1" xfId="0" applyBorder="1"/>
    <xf numFmtId="0" fontId="25" fillId="5" borderId="1" xfId="0" applyFont="1" applyFill="1" applyBorder="1"/>
    <xf numFmtId="0" fontId="26" fillId="0" borderId="1" xfId="1" applyBorder="1"/>
    <xf numFmtId="0" fontId="12" fillId="13" borderId="1" xfId="0" applyFont="1" applyFill="1" applyBorder="1" applyAlignment="1">
      <alignment vertical="center"/>
    </xf>
    <xf numFmtId="0" fontId="12" fillId="13" borderId="1" xfId="0" applyFont="1" applyFill="1" applyBorder="1" applyAlignment="1">
      <alignment horizontal="center" vertical="center"/>
    </xf>
    <xf numFmtId="0" fontId="25" fillId="11" borderId="0" xfId="0" applyFont="1" applyFill="1"/>
    <xf numFmtId="0" fontId="1" fillId="5" borderId="1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8" fillId="0" borderId="0" xfId="0" applyFont="1"/>
    <xf numFmtId="0" fontId="0" fillId="0" borderId="0" xfId="0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/>
    </xf>
    <xf numFmtId="0" fontId="27" fillId="4" borderId="10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5" fillId="15" borderId="30" xfId="0" applyFont="1" applyFill="1" applyBorder="1" applyAlignment="1">
      <alignment horizontal="center" vertical="center"/>
    </xf>
    <xf numFmtId="0" fontId="0" fillId="15" borderId="0" xfId="0" applyFill="1"/>
    <xf numFmtId="0" fontId="12" fillId="15" borderId="30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5" borderId="30" xfId="0" applyFont="1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3" fillId="15" borderId="33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17" borderId="0" xfId="0" applyFill="1"/>
    <xf numFmtId="0" fontId="5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top"/>
    </xf>
    <xf numFmtId="0" fontId="0" fillId="17" borderId="6" xfId="0" applyFill="1" applyBorder="1"/>
    <xf numFmtId="0" fontId="0" fillId="10" borderId="0" xfId="0" applyFill="1"/>
    <xf numFmtId="0" fontId="0" fillId="10" borderId="0" xfId="0" applyFill="1" applyAlignment="1">
      <alignment horizontal="center" vertical="top"/>
    </xf>
    <xf numFmtId="0" fontId="0" fillId="10" borderId="5" xfId="0" applyFill="1" applyBorder="1"/>
    <xf numFmtId="0" fontId="3" fillId="10" borderId="0" xfId="0" applyFont="1" applyFill="1" applyAlignment="1">
      <alignment horizontal="center" vertical="top"/>
    </xf>
    <xf numFmtId="0" fontId="3" fillId="10" borderId="6" xfId="0" applyFont="1" applyFill="1" applyBorder="1" applyAlignment="1">
      <alignment horizontal="center" vertical="top"/>
    </xf>
    <xf numFmtId="0" fontId="0" fillId="10" borderId="7" xfId="0" applyFill="1" applyBorder="1"/>
    <xf numFmtId="0" fontId="0" fillId="15" borderId="31" xfId="0" applyFill="1" applyBorder="1"/>
    <xf numFmtId="0" fontId="5" fillId="17" borderId="0" xfId="0" applyFont="1" applyFill="1"/>
    <xf numFmtId="0" fontId="0" fillId="10" borderId="13" xfId="0" applyFill="1" applyBorder="1"/>
    <xf numFmtId="14" fontId="3" fillId="10" borderId="13" xfId="0" applyNumberFormat="1" applyFont="1" applyFill="1" applyBorder="1" applyAlignment="1">
      <alignment wrapText="1" justifyLastLine="1" shrinkToFit="1" readingOrder="1"/>
    </xf>
    <xf numFmtId="0" fontId="3" fillId="10" borderId="13" xfId="0" applyFont="1" applyFill="1" applyBorder="1"/>
    <xf numFmtId="0" fontId="3" fillId="10" borderId="13" xfId="0" applyFont="1" applyFill="1" applyBorder="1" applyAlignment="1">
      <alignment vertical="center" wrapText="1"/>
    </xf>
    <xf numFmtId="0" fontId="19" fillId="10" borderId="13" xfId="0" applyFont="1" applyFill="1" applyBorder="1" applyAlignment="1">
      <alignment vertical="center" wrapText="1"/>
    </xf>
    <xf numFmtId="0" fontId="30" fillId="0" borderId="0" xfId="0" applyFont="1"/>
    <xf numFmtId="0" fontId="25" fillId="0" borderId="0" xfId="0" applyFont="1"/>
    <xf numFmtId="0" fontId="1" fillId="0" borderId="0" xfId="0" applyFont="1"/>
    <xf numFmtId="0" fontId="23" fillId="0" borderId="0" xfId="0" applyFont="1"/>
    <xf numFmtId="0" fontId="17" fillId="4" borderId="34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7" fillId="4" borderId="2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9" fillId="0" borderId="0" xfId="0" applyFont="1"/>
    <xf numFmtId="0" fontId="29" fillId="4" borderId="22" xfId="0" applyFont="1" applyFill="1" applyBorder="1" applyAlignment="1">
      <alignment horizontal="center"/>
    </xf>
    <xf numFmtId="0" fontId="29" fillId="4" borderId="34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vertical="center"/>
    </xf>
    <xf numFmtId="0" fontId="29" fillId="4" borderId="20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vertical="center"/>
    </xf>
    <xf numFmtId="0" fontId="21" fillId="5" borderId="16" xfId="0" applyFont="1" applyFill="1" applyBorder="1" applyAlignment="1">
      <alignment vertical="center"/>
    </xf>
    <xf numFmtId="0" fontId="21" fillId="5" borderId="17" xfId="0" applyFont="1" applyFill="1" applyBorder="1" applyAlignment="1">
      <alignment horizontal="center" vertical="center"/>
    </xf>
    <xf numFmtId="0" fontId="21" fillId="5" borderId="18" xfId="0" applyFont="1" applyFill="1" applyBorder="1" applyAlignment="1">
      <alignment horizontal="center" vertical="center"/>
    </xf>
    <xf numFmtId="0" fontId="21" fillId="5" borderId="18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5" fillId="5" borderId="1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7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 vertical="center"/>
    </xf>
    <xf numFmtId="0" fontId="25" fillId="5" borderId="16" xfId="0" applyFont="1" applyFill="1" applyBorder="1" applyAlignment="1">
      <alignment horizontal="center"/>
    </xf>
    <xf numFmtId="0" fontId="25" fillId="5" borderId="19" xfId="0" applyFont="1" applyFill="1" applyBorder="1" applyAlignment="1">
      <alignment horizontal="center"/>
    </xf>
    <xf numFmtId="0" fontId="19" fillId="4" borderId="31" xfId="0" applyFont="1" applyFill="1" applyBorder="1" applyAlignment="1">
      <alignment horizontal="center"/>
    </xf>
    <xf numFmtId="0" fontId="6" fillId="5" borderId="29" xfId="0" applyFont="1" applyFill="1" applyBorder="1"/>
    <xf numFmtId="0" fontId="19" fillId="4" borderId="22" xfId="0" applyFont="1" applyFill="1" applyBorder="1" applyAlignment="1">
      <alignment horizontal="center"/>
    </xf>
    <xf numFmtId="0" fontId="6" fillId="5" borderId="16" xfId="0" applyFont="1" applyFill="1" applyBorder="1"/>
    <xf numFmtId="0" fontId="6" fillId="5" borderId="19" xfId="0" applyFont="1" applyFill="1" applyBorder="1"/>
    <xf numFmtId="0" fontId="6" fillId="5" borderId="1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32" fillId="6" borderId="11" xfId="0" applyFont="1" applyFill="1" applyBorder="1" applyAlignment="1">
      <alignment horizontal="center"/>
    </xf>
    <xf numFmtId="0" fontId="32" fillId="6" borderId="2" xfId="0" applyFont="1" applyFill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32" fillId="6" borderId="10" xfId="0" applyFont="1" applyFill="1" applyBorder="1" applyAlignment="1">
      <alignment horizontal="center"/>
    </xf>
    <xf numFmtId="0" fontId="17" fillId="4" borderId="22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vertical="center" wrapText="1"/>
    </xf>
    <xf numFmtId="0" fontId="33" fillId="6" borderId="10" xfId="0" applyFont="1" applyFill="1" applyBorder="1" applyAlignment="1">
      <alignment horizontal="center"/>
    </xf>
    <xf numFmtId="0" fontId="33" fillId="6" borderId="1" xfId="0" applyFont="1" applyFill="1" applyBorder="1" applyAlignment="1">
      <alignment horizontal="center"/>
    </xf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34" fillId="6" borderId="10" xfId="0" applyFont="1" applyFill="1" applyBorder="1" applyAlignment="1">
      <alignment horizontal="center"/>
    </xf>
    <xf numFmtId="0" fontId="34" fillId="6" borderId="1" xfId="0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/>
    <xf numFmtId="0" fontId="29" fillId="0" borderId="16" xfId="0" applyFont="1" applyBorder="1" applyAlignment="1">
      <alignment horizontal="center" vertical="center"/>
    </xf>
    <xf numFmtId="0" fontId="25" fillId="0" borderId="17" xfId="0" applyFont="1" applyBorder="1"/>
    <xf numFmtId="0" fontId="25" fillId="0" borderId="18" xfId="0" applyFont="1" applyBorder="1"/>
    <xf numFmtId="0" fontId="25" fillId="0" borderId="19" xfId="0" applyFont="1" applyBorder="1"/>
    <xf numFmtId="0" fontId="29" fillId="0" borderId="1" xfId="0" applyFont="1" applyBorder="1" applyAlignment="1">
      <alignment horizontal="center" textRotation="90"/>
    </xf>
    <xf numFmtId="164" fontId="29" fillId="0" borderId="1" xfId="0" applyNumberFormat="1" applyFont="1" applyBorder="1" applyAlignment="1">
      <alignment horizontal="center"/>
    </xf>
    <xf numFmtId="0" fontId="29" fillId="7" borderId="10" xfId="0" applyFont="1" applyFill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0" fillId="0" borderId="10" xfId="0" applyBorder="1"/>
    <xf numFmtId="0" fontId="0" fillId="0" borderId="5" xfId="0" applyBorder="1"/>
    <xf numFmtId="0" fontId="26" fillId="0" borderId="18" xfId="1" applyBorder="1"/>
    <xf numFmtId="0" fontId="0" fillId="0" borderId="7" xfId="0" applyBorder="1"/>
    <xf numFmtId="0" fontId="35" fillId="0" borderId="0" xfId="1" applyFont="1"/>
    <xf numFmtId="0" fontId="36" fillId="0" borderId="0" xfId="0" applyFont="1"/>
    <xf numFmtId="0" fontId="35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1" applyFont="1"/>
    <xf numFmtId="0" fontId="46" fillId="0" borderId="0" xfId="1" applyFont="1" applyBorder="1"/>
    <xf numFmtId="0" fontId="47" fillId="0" borderId="0" xfId="1" applyFont="1"/>
    <xf numFmtId="0" fontId="6" fillId="5" borderId="36" xfId="0" applyFont="1" applyFill="1" applyBorder="1"/>
    <xf numFmtId="0" fontId="19" fillId="4" borderId="1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center" vertical="center"/>
    </xf>
    <xf numFmtId="0" fontId="40" fillId="17" borderId="0" xfId="0" applyFont="1" applyFill="1" applyAlignment="1">
      <alignment vertical="center"/>
    </xf>
    <xf numFmtId="0" fontId="49" fillId="0" borderId="1" xfId="1" applyFont="1" applyBorder="1"/>
    <xf numFmtId="0" fontId="29" fillId="0" borderId="16" xfId="0" applyFont="1" applyBorder="1"/>
    <xf numFmtId="0" fontId="49" fillId="0" borderId="18" xfId="1" applyFont="1" applyBorder="1"/>
    <xf numFmtId="0" fontId="29" fillId="0" borderId="19" xfId="0" applyFont="1" applyBorder="1"/>
    <xf numFmtId="0" fontId="21" fillId="0" borderId="0" xfId="0" applyFont="1" applyAlignment="1">
      <alignment horizontal="center"/>
    </xf>
    <xf numFmtId="0" fontId="25" fillId="0" borderId="10" xfId="0" applyFont="1" applyBorder="1"/>
    <xf numFmtId="0" fontId="16" fillId="0" borderId="10" xfId="0" applyFont="1" applyBorder="1"/>
    <xf numFmtId="0" fontId="16" fillId="0" borderId="17" xfId="0" applyFont="1" applyBorder="1"/>
    <xf numFmtId="0" fontId="48" fillId="0" borderId="16" xfId="1" applyFont="1" applyBorder="1"/>
    <xf numFmtId="0" fontId="48" fillId="0" borderId="19" xfId="1" applyFont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8" fillId="0" borderId="1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32" fillId="6" borderId="17" xfId="0" applyFont="1" applyFill="1" applyBorder="1" applyAlignment="1">
      <alignment horizontal="center"/>
    </xf>
    <xf numFmtId="0" fontId="32" fillId="6" borderId="18" xfId="0" applyFont="1" applyFill="1" applyBorder="1" applyAlignment="1">
      <alignment horizontal="center"/>
    </xf>
    <xf numFmtId="0" fontId="18" fillId="0" borderId="18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9" fillId="10" borderId="2" xfId="0" applyFont="1" applyFill="1" applyBorder="1"/>
    <xf numFmtId="0" fontId="29" fillId="10" borderId="2" xfId="0" applyFont="1" applyFill="1" applyBorder="1" applyAlignment="1">
      <alignment horizontal="center"/>
    </xf>
    <xf numFmtId="0" fontId="29" fillId="10" borderId="37" xfId="0" applyFont="1" applyFill="1" applyBorder="1" applyAlignment="1">
      <alignment horizontal="center"/>
    </xf>
    <xf numFmtId="0" fontId="25" fillId="10" borderId="10" xfId="0" applyFont="1" applyFill="1" applyBorder="1" applyAlignment="1">
      <alignment horizontal="center"/>
    </xf>
    <xf numFmtId="0" fontId="25" fillId="10" borderId="1" xfId="0" applyFont="1" applyFill="1" applyBorder="1" applyAlignment="1">
      <alignment horizontal="center"/>
    </xf>
    <xf numFmtId="165" fontId="25" fillId="13" borderId="1" xfId="0" applyNumberFormat="1" applyFont="1" applyFill="1" applyBorder="1"/>
    <xf numFmtId="165" fontId="25" fillId="17" borderId="1" xfId="0" applyNumberFormat="1" applyFont="1" applyFill="1" applyBorder="1"/>
    <xf numFmtId="165" fontId="25" fillId="12" borderId="1" xfId="0" applyNumberFormat="1" applyFont="1" applyFill="1" applyBorder="1"/>
    <xf numFmtId="165" fontId="25" fillId="15" borderId="1" xfId="0" applyNumberFormat="1" applyFont="1" applyFill="1" applyBorder="1"/>
    <xf numFmtId="165" fontId="25" fillId="13" borderId="16" xfId="0" applyNumberFormat="1" applyFont="1" applyFill="1" applyBorder="1"/>
    <xf numFmtId="0" fontId="25" fillId="10" borderId="17" xfId="0" applyFont="1" applyFill="1" applyBorder="1" applyAlignment="1">
      <alignment horizontal="center"/>
    </xf>
    <xf numFmtId="0" fontId="25" fillId="10" borderId="18" xfId="0" applyFont="1" applyFill="1" applyBorder="1" applyAlignment="1">
      <alignment horizontal="center"/>
    </xf>
    <xf numFmtId="165" fontId="25" fillId="13" borderId="18" xfId="0" applyNumberFormat="1" applyFont="1" applyFill="1" applyBorder="1"/>
    <xf numFmtId="165" fontId="25" fillId="17" borderId="18" xfId="0" applyNumberFormat="1" applyFont="1" applyFill="1" applyBorder="1"/>
    <xf numFmtId="165" fontId="25" fillId="12" borderId="18" xfId="0" applyNumberFormat="1" applyFont="1" applyFill="1" applyBorder="1"/>
    <xf numFmtId="165" fontId="25" fillId="15" borderId="18" xfId="0" applyNumberFormat="1" applyFont="1" applyFill="1" applyBorder="1"/>
    <xf numFmtId="165" fontId="25" fillId="13" borderId="19" xfId="0" applyNumberFormat="1" applyFont="1" applyFill="1" applyBorder="1"/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25" fillId="12" borderId="8" xfId="0" applyFont="1" applyFill="1" applyBorder="1" applyAlignment="1">
      <alignment horizontal="center" vertical="center"/>
    </xf>
    <xf numFmtId="0" fontId="25" fillId="12" borderId="9" xfId="0" applyFont="1" applyFill="1" applyBorder="1" applyAlignment="1">
      <alignment horizontal="center" vertical="center"/>
    </xf>
    <xf numFmtId="0" fontId="25" fillId="12" borderId="15" xfId="0" applyFont="1" applyFill="1" applyBorder="1" applyAlignment="1">
      <alignment horizontal="center" vertical="center"/>
    </xf>
    <xf numFmtId="0" fontId="25" fillId="12" borderId="10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" fillId="7" borderId="27" xfId="0" applyFont="1" applyFill="1" applyBorder="1" applyAlignment="1">
      <alignment horizontal="center"/>
    </xf>
    <xf numFmtId="0" fontId="2" fillId="7" borderId="28" xfId="0" applyFont="1" applyFill="1" applyBorder="1" applyAlignment="1">
      <alignment horizontal="center"/>
    </xf>
    <xf numFmtId="0" fontId="2" fillId="7" borderId="29" xfId="0" applyFont="1" applyFill="1" applyBorder="1" applyAlignment="1">
      <alignment horizontal="center"/>
    </xf>
    <xf numFmtId="0" fontId="23" fillId="14" borderId="27" xfId="0" applyFont="1" applyFill="1" applyBorder="1" applyAlignment="1">
      <alignment horizontal="center" vertical="center"/>
    </xf>
    <xf numFmtId="0" fontId="23" fillId="14" borderId="28" xfId="0" applyFont="1" applyFill="1" applyBorder="1" applyAlignment="1">
      <alignment horizontal="center" vertical="center"/>
    </xf>
    <xf numFmtId="0" fontId="23" fillId="14" borderId="29" xfId="0" applyFont="1" applyFill="1" applyBorder="1" applyAlignment="1">
      <alignment horizontal="center" vertical="center"/>
    </xf>
    <xf numFmtId="0" fontId="18" fillId="8" borderId="23" xfId="0" applyFont="1" applyFill="1" applyBorder="1" applyAlignment="1">
      <alignment horizontal="center"/>
    </xf>
    <xf numFmtId="0" fontId="18" fillId="8" borderId="24" xfId="0" applyFont="1" applyFill="1" applyBorder="1" applyAlignment="1">
      <alignment horizontal="center"/>
    </xf>
    <xf numFmtId="0" fontId="18" fillId="8" borderId="25" xfId="0" applyFont="1" applyFill="1" applyBorder="1" applyAlignment="1">
      <alignment horizontal="center"/>
    </xf>
    <xf numFmtId="0" fontId="2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4" fillId="10" borderId="0" xfId="0" applyFont="1" applyFill="1" applyAlignment="1">
      <alignment horizontal="center"/>
    </xf>
    <xf numFmtId="0" fontId="12" fillId="0" borderId="1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2" fillId="6" borderId="10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9" fillId="6" borderId="10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9" fillId="6" borderId="11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18" fillId="6" borderId="10" xfId="0" applyFont="1" applyFill="1" applyBorder="1" applyAlignment="1">
      <alignment horizontal="center" vertical="center"/>
    </xf>
    <xf numFmtId="0" fontId="18" fillId="6" borderId="2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6" borderId="20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1" xfId="0" applyFont="1" applyBorder="1"/>
    <xf numFmtId="0" fontId="18" fillId="0" borderId="20" xfId="0" applyFont="1" applyBorder="1"/>
    <xf numFmtId="0" fontId="18" fillId="0" borderId="39" xfId="0" applyFont="1" applyBorder="1"/>
    <xf numFmtId="0" fontId="17" fillId="8" borderId="3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0" fontId="16" fillId="8" borderId="32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8" fillId="8" borderId="32" xfId="0" applyFont="1" applyFill="1" applyBorder="1" applyAlignment="1">
      <alignment horizontal="center" vertical="center"/>
    </xf>
    <xf numFmtId="0" fontId="18" fillId="8" borderId="3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50" fillId="16" borderId="32" xfId="0" applyFont="1" applyFill="1" applyBorder="1" applyAlignment="1">
      <alignment horizontal="center" vertical="center"/>
    </xf>
    <xf numFmtId="0" fontId="50" fillId="16" borderId="3" xfId="0" applyFont="1" applyFill="1" applyBorder="1" applyAlignment="1">
      <alignment horizontal="center" vertical="center"/>
    </xf>
    <xf numFmtId="0" fontId="50" fillId="16" borderId="4" xfId="0" applyFont="1" applyFill="1" applyBorder="1" applyAlignment="1">
      <alignment horizontal="center" vertical="center"/>
    </xf>
    <xf numFmtId="0" fontId="50" fillId="16" borderId="33" xfId="0" applyFont="1" applyFill="1" applyBorder="1" applyAlignment="1">
      <alignment horizontal="center" vertical="center"/>
    </xf>
    <xf numFmtId="0" fontId="50" fillId="16" borderId="6" xfId="0" applyFont="1" applyFill="1" applyBorder="1" applyAlignment="1">
      <alignment horizontal="center" vertical="center"/>
    </xf>
    <xf numFmtId="0" fontId="50" fillId="16" borderId="7" xfId="0" applyFont="1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3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3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18" fillId="16" borderId="32" xfId="0" applyFont="1" applyFill="1" applyBorder="1" applyAlignment="1">
      <alignment horizontal="center"/>
    </xf>
    <xf numFmtId="0" fontId="18" fillId="16" borderId="3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8" fillId="16" borderId="30" xfId="0" applyFont="1" applyFill="1" applyBorder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6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7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1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" fmlaRange="'EMPLOYEE DETAILS'!$E$5:$E$24" noThreeD="1" sel="17" val="12"/>
</file>

<file path=xl/ctrlProps/ctrlProp2.xml><?xml version="1.0" encoding="utf-8"?>
<formControlPr xmlns="http://schemas.microsoft.com/office/spreadsheetml/2009/9/main" objectType="Drop" dropStyle="combo" dx="16" fmlaLink="$A$1" fmlaRange="'EMPLOYEE DETAILS'!$F$5:$F$24" noThreeD="1" sel="17" val="12"/>
</file>

<file path=xl/ctrlProps/ctrlProp3.xml><?xml version="1.0" encoding="utf-8"?>
<formControlPr xmlns="http://schemas.microsoft.com/office/spreadsheetml/2009/9/main" objectType="Drop" dropStyle="combo" dx="16" noThreeD="1" sel="0" val="0"/>
</file>

<file path=xl/ctrlProps/ctrlProp4.xml><?xml version="1.0" encoding="utf-8"?>
<formControlPr xmlns="http://schemas.microsoft.com/office/spreadsheetml/2009/9/main" objectType="Drop" dropStyle="combo" dx="16" fmlaLink="$A$1" fmlaRange="'EMPLOYEE DETAILS'!$G$5:$G$24" noThreeD="1" sel="17" val="12"/>
</file>

<file path=xl/ctrlProps/ctrlProp5.xml><?xml version="1.0" encoding="utf-8"?>
<formControlPr xmlns="http://schemas.microsoft.com/office/spreadsheetml/2009/9/main" objectType="Drop" dropStyle="combo" dx="16" fmlaLink="$A$1" fmlaRange="'EMPLOYEE DETAILS'!$H$5:$H$24" noThreeD="1" sel="17" val="12"/>
</file>

<file path=xl/ctrlProps/ctrlProp6.xml><?xml version="1.0" encoding="utf-8"?>
<formControlPr xmlns="http://schemas.microsoft.com/office/spreadsheetml/2009/9/main" objectType="Drop" dropStyle="combo" dx="16" fmlaLink="$A$1" fmlaRange="'EMPLOYEE DETAILS'!$I$5:$I$24" sel="17" val="12"/>
</file>

<file path=xl/ctrlProps/ctrlProp7.xml><?xml version="1.0" encoding="utf-8"?>
<formControlPr xmlns="http://schemas.microsoft.com/office/spreadsheetml/2009/9/main" objectType="Drop" dropStyle="combo" dx="16" fmlaLink="$A$1" fmlaRange="'EMPLOYEE DETAILS'!$J$5:$J$24" sel="17" val="10"/>
</file>

<file path=xl/ctrlProps/ctrlProp8.xml><?xml version="1.0" encoding="utf-8"?>
<formControlPr xmlns="http://schemas.microsoft.com/office/spreadsheetml/2009/9/main" objectType="Drop" dropStyle="combo" dx="16" fmlaLink="$A$1" fmlaRange="'EMPLOYEE DETAILS'!$M$5:$M$24" sel="17" val="12"/>
</file>

<file path=xl/ctrlProps/ctrlProp9.xml><?xml version="1.0" encoding="utf-8"?>
<formControlPr xmlns="http://schemas.microsoft.com/office/spreadsheetml/2009/9/main" objectType="Drop" dropStyle="combo" dx="16" fmlaLink="$A$1" fmlaRange="'EMPLOYEE DETAILS'!$K$5:$K$24" noThreeD="1" sel="17" val="0"/>
</file>

<file path=xl/ctrlProps/ctrlProp10.xml><?xml version="1.0" encoding="utf-8"?>
<formControlPr xmlns="http://schemas.microsoft.com/office/spreadsheetml/2009/9/main" objectType="Drop" dropStyle="combo" dx="16" fmlaLink="$A$1" fmlaRange="'EMPLOYEE DETAILS'!$L$5:$L$24" noThreeD="1" sel="17" val="7"/>
</file>

<file path=xl/ctrlProps/ctrlProp11.xml><?xml version="1.0" encoding="utf-8"?>
<formControlPr xmlns="http://schemas.microsoft.com/office/spreadsheetml/2009/9/main" objectType="Drop" dropStyle="combo" dx="16" fmlaLink="$A$1" fmlaRange="' LEAVE TRACKER'!$G$7:$G$26" sel="17" val="12"/>
</file>

<file path=xl/ctrlProps/ctrlProp12.xml><?xml version="1.0" encoding="utf-8"?>
<formControlPr xmlns="http://schemas.microsoft.com/office/spreadsheetml/2009/9/main" objectType="Drop" dropStyle="combo" dx="16" fmlaLink="$A$1" fmlaRange="' LEAVE TRACKER'!$H$7:$H$25" sel="17" val="11"/>
</file>

<file path=xl/ctrlProps/ctrlProp13.xml><?xml version="1.0" encoding="utf-8"?>
<formControlPr xmlns="http://schemas.microsoft.com/office/spreadsheetml/2009/9/main" objectType="Drop" dropStyle="combo" dx="16" fmlaLink="$A$1" fmlaRange="' LEAVE TRACKER'!$I$7:$I$26" noThreeD="1" sel="17" val="0"/>
</file>

<file path=xl/ctrlProps/ctrlProp14.xml><?xml version="1.0" encoding="utf-8"?>
<formControlPr xmlns="http://schemas.microsoft.com/office/spreadsheetml/2009/9/main" objectType="Drop" dropStyle="combo" dx="16" fmlaLink="$A$1" fmlaRange="'SALARY TRACKER'!$I$8:$I$27" noThreeD="1" sel="17" val="12"/>
</file>

<file path=xl/ctrlProps/ctrlProp15.xml><?xml version="1.0" encoding="utf-8"?>
<formControlPr xmlns="http://schemas.microsoft.com/office/spreadsheetml/2009/9/main" objectType="Drop" dropStyle="combo" dx="16" fmlaLink="$A$1" fmlaRange="'SALARY TRACKER'!$J$8:$J$27" sel="17" val="0"/>
</file>

<file path=xl/ctrlProps/ctrlProp16.xml><?xml version="1.0" encoding="utf-8"?>
<formControlPr xmlns="http://schemas.microsoft.com/office/spreadsheetml/2009/9/main" objectType="Drop" dropStyle="combo" dx="16" fmlaLink="$A$1" fmlaRange="'SALARY TRACKER'!$K$8:$K$27" sel="17" val="7"/>
</file>

<file path=xl/ctrlProps/ctrlProp17.xml><?xml version="1.0" encoding="utf-8"?>
<formControlPr xmlns="http://schemas.microsoft.com/office/spreadsheetml/2009/9/main" objectType="Drop" dropStyle="combo" dx="16" fmlaLink="$A$1" fmlaRange="'SALARY TRACKER'!$N$8:$N$27" noThreeD="1" sel="17" val="0"/>
</file>

<file path=xl/ctrlProps/ctrlProp18.xml><?xml version="1.0" encoding="utf-8"?>
<formControlPr xmlns="http://schemas.microsoft.com/office/spreadsheetml/2009/9/main" objectType="Drop" dropStyle="combo" dx="16" fmlaLink="$A$1" fmlaRange="'SALARY TRACKER'!$O$8:$O$27" noThreeD="1" sel="17" val="0"/>
</file>

<file path=xl/ctrlProps/ctrlProp19.xml><?xml version="1.0" encoding="utf-8"?>
<formControlPr xmlns="http://schemas.microsoft.com/office/spreadsheetml/2009/9/main" objectType="Drop" dropStyle="combo" dx="16" fmlaLink="$A$1" fmlaRange="'SALARY TRACKER'!$P$8:$P$27" noThreeD="1" sel="17" val="1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 DEPARTMENTS'!A1"/><Relationship Id="rId1" Type="http://schemas.openxmlformats.org/officeDocument/2006/relationships/hyperlink" Target="#JANUARY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 LEAVE TRACKER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ALARY TRACKER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'SALARY TRACKER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ALARY TRACKER'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SALARY TRACKER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SALARY TRACKER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SALARY TRACKER'!A1"/><Relationship Id="rId2" Type="http://schemas.openxmlformats.org/officeDocument/2006/relationships/hyperlink" Target="#' LEAVE TRACKER'!A1"/><Relationship Id="rId1" Type="http://schemas.openxmlformats.org/officeDocument/2006/relationships/hyperlink" Target="#'EMPLOYEE DETAI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314325</xdr:colOff>
      <xdr:row>14</xdr:row>
      <xdr:rowOff>19050</xdr:rowOff>
    </xdr:from>
    <xdr:to>
      <xdr:col>20</xdr:col>
      <xdr:colOff>485775</xdr:colOff>
      <xdr:row>16</xdr:row>
      <xdr:rowOff>38100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896725" y="2686050"/>
          <a:ext cx="781050" cy="400050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rgbClr val="FF0000"/>
              </a:solidFill>
            </a:rPr>
            <a:t>NEXT</a:t>
          </a:r>
          <a:r>
            <a:rPr lang="en-IN" sz="1400"/>
            <a:t>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340179</xdr:colOff>
      <xdr:row>13</xdr:row>
      <xdr:rowOff>81641</xdr:rowOff>
    </xdr:from>
    <xdr:to>
      <xdr:col>19</xdr:col>
      <xdr:colOff>95250</xdr:colOff>
      <xdr:row>15</xdr:row>
      <xdr:rowOff>149678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80715" y="4041320"/>
          <a:ext cx="979714" cy="449037"/>
        </a:xfrm>
        <a:prstGeom prst="roundRect">
          <a:avLst>
            <a:gd name="adj" fmla="val 5000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  NEXT</a:t>
          </a:r>
          <a:r>
            <a:rPr lang="en-IN" sz="1800"/>
            <a:t>&gt;</a:t>
          </a:r>
        </a:p>
      </xdr:txBody>
    </xdr:sp>
    <xdr:clientData/>
  </xdr:twoCellAnchor>
  <xdr:twoCellAnchor>
    <xdr:from>
      <xdr:col>13</xdr:col>
      <xdr:colOff>340179</xdr:colOff>
      <xdr:row>13</xdr:row>
      <xdr:rowOff>136070</xdr:rowOff>
    </xdr:from>
    <xdr:to>
      <xdr:col>15</xdr:col>
      <xdr:colOff>149679</xdr:colOff>
      <xdr:row>15</xdr:row>
      <xdr:rowOff>163285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31429" y="4095749"/>
          <a:ext cx="1034143" cy="408215"/>
        </a:xfrm>
        <a:prstGeom prst="roundRect">
          <a:avLst>
            <a:gd name="adj" fmla="val 50000"/>
          </a:avLst>
        </a:prstGeom>
        <a:solidFill>
          <a:srgbClr val="00206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&lt;BACK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43</xdr:col>
      <xdr:colOff>190500</xdr:colOff>
      <xdr:row>1</xdr:row>
      <xdr:rowOff>642937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051000" y="1095375"/>
          <a:ext cx="2667000" cy="642937"/>
        </a:xfrm>
        <a:prstGeom prst="roundRect">
          <a:avLst>
            <a:gd name="adj" fmla="val 50000"/>
          </a:avLst>
        </a:prstGeom>
        <a:solidFill>
          <a:srgbClr val="4472C4">
            <a:lumMod val="75000"/>
          </a:srgbClr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 TO LEAVE TRACKER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44</xdr:col>
      <xdr:colOff>508000</xdr:colOff>
      <xdr:row>3</xdr:row>
      <xdr:rowOff>190500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718750" y="1079500"/>
          <a:ext cx="3524250" cy="114300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2400">
              <a:solidFill>
                <a:schemeClr val="bg1"/>
              </a:solidFill>
            </a:rPr>
            <a:t>GO TO LEAVE</a:t>
          </a:r>
          <a:r>
            <a:rPr lang="en-IN" sz="2400" baseline="0">
              <a:solidFill>
                <a:schemeClr val="bg1"/>
              </a:solidFill>
            </a:rPr>
            <a:t> TRACKER</a:t>
          </a:r>
          <a:endParaRPr lang="en-IN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43</xdr:col>
      <xdr:colOff>261937</xdr:colOff>
      <xdr:row>1</xdr:row>
      <xdr:rowOff>690562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407938" y="1214438"/>
          <a:ext cx="2738437" cy="690562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1800">
              <a:solidFill>
                <a:schemeClr val="bg1"/>
              </a:solidFill>
            </a:rPr>
            <a:t>GO TO LEAVE</a:t>
          </a:r>
          <a:r>
            <a:rPr lang="en-IN" sz="1800" baseline="0">
              <a:solidFill>
                <a:schemeClr val="bg1"/>
              </a:solidFill>
            </a:rPr>
            <a:t> TRACKER</a:t>
          </a:r>
          <a:endParaRPr lang="en-IN" sz="18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45</xdr:col>
      <xdr:colOff>304800</xdr:colOff>
      <xdr:row>2</xdr:row>
      <xdr:rowOff>266700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0195500" y="1295400"/>
          <a:ext cx="3962400" cy="99060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2800" b="1">
              <a:solidFill>
                <a:schemeClr val="bg1"/>
              </a:solidFill>
            </a:rPr>
            <a:t>GO TO LEAVE</a:t>
          </a:r>
          <a:r>
            <a:rPr lang="en-IN" sz="2800" b="1" baseline="0">
              <a:solidFill>
                <a:schemeClr val="bg1"/>
              </a:solidFill>
            </a:rPr>
            <a:t> TRACKER</a:t>
          </a:r>
          <a:endParaRPr lang="en-IN" sz="28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-1</xdr:colOff>
      <xdr:row>1</xdr:row>
      <xdr:rowOff>0</xdr:rowOff>
    </xdr:from>
    <xdr:to>
      <xdr:col>44</xdr:col>
      <xdr:colOff>190499</xdr:colOff>
      <xdr:row>2</xdr:row>
      <xdr:rowOff>23812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3907749" y="809625"/>
          <a:ext cx="3286125" cy="738187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2000" b="1">
              <a:solidFill>
                <a:schemeClr val="bg1"/>
              </a:solidFill>
            </a:rPr>
            <a:t>GO TO LEAVE</a:t>
          </a:r>
          <a:r>
            <a:rPr lang="en-IN" sz="2000" b="1" baseline="0">
              <a:solidFill>
                <a:schemeClr val="bg1"/>
              </a:solidFill>
            </a:rPr>
            <a:t> TRACKER</a:t>
          </a:r>
          <a:endParaRPr lang="en-IN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45</xdr:col>
      <xdr:colOff>95250</xdr:colOff>
      <xdr:row>2</xdr:row>
      <xdr:rowOff>63500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0924500" y="1365250"/>
          <a:ext cx="3714750" cy="76200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2000" b="1">
              <a:solidFill>
                <a:schemeClr val="bg1"/>
              </a:solidFill>
            </a:rPr>
            <a:t>GO TO LEAVE</a:t>
          </a:r>
          <a:r>
            <a:rPr lang="en-IN" sz="2000" b="1" baseline="0">
              <a:solidFill>
                <a:schemeClr val="bg1"/>
              </a:solidFill>
            </a:rPr>
            <a:t> TRACKER</a:t>
          </a:r>
          <a:endParaRPr lang="en-IN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44</xdr:col>
      <xdr:colOff>190500</xdr:colOff>
      <xdr:row>3</xdr:row>
      <xdr:rowOff>158750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2035750" y="1524000"/>
          <a:ext cx="3206750" cy="120650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2400" b="1">
              <a:solidFill>
                <a:schemeClr val="bg1"/>
              </a:solidFill>
            </a:rPr>
            <a:t>GO TO LEAVE</a:t>
          </a:r>
          <a:r>
            <a:rPr lang="en-IN" sz="2400" b="1" baseline="0">
              <a:solidFill>
                <a:schemeClr val="bg1"/>
              </a:solidFill>
            </a:rPr>
            <a:t> TRACKER</a:t>
          </a:r>
          <a:endParaRPr lang="en-IN" sz="2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43</xdr:col>
      <xdr:colOff>333375</xdr:colOff>
      <xdr:row>2</xdr:row>
      <xdr:rowOff>71437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3669625" y="714375"/>
          <a:ext cx="2809875" cy="785812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1800" b="1">
              <a:solidFill>
                <a:schemeClr val="bg1"/>
              </a:solidFill>
            </a:rPr>
            <a:t>GO TO LEAVE</a:t>
          </a:r>
          <a:r>
            <a:rPr lang="en-IN" sz="1800" b="1" baseline="0">
              <a:solidFill>
                <a:schemeClr val="bg1"/>
              </a:solidFill>
            </a:rPr>
            <a:t> TRACKER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44</xdr:col>
      <xdr:colOff>317500</xdr:colOff>
      <xdr:row>1</xdr:row>
      <xdr:rowOff>635000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0575250" y="635000"/>
          <a:ext cx="3333750" cy="63500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2000" b="1">
              <a:solidFill>
                <a:schemeClr val="bg1"/>
              </a:solidFill>
            </a:rPr>
            <a:t>GO TO LEAVE</a:t>
          </a:r>
          <a:r>
            <a:rPr lang="en-IN" sz="2000" b="1" baseline="0">
              <a:solidFill>
                <a:schemeClr val="bg1"/>
              </a:solidFill>
            </a:rPr>
            <a:t> TRACKER</a:t>
          </a:r>
          <a:endParaRPr lang="en-IN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69272</xdr:colOff>
      <xdr:row>1</xdr:row>
      <xdr:rowOff>138545</xdr:rowOff>
    </xdr:from>
    <xdr:to>
      <xdr:col>43</xdr:col>
      <xdr:colOff>17318</xdr:colOff>
      <xdr:row>1</xdr:row>
      <xdr:rowOff>588818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4262772" y="623454"/>
          <a:ext cx="2372591" cy="450273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600">
              <a:solidFill>
                <a:schemeClr val="bg1"/>
              </a:solidFill>
            </a:rPr>
            <a:t>GO TO LEAVE</a:t>
          </a:r>
          <a:r>
            <a:rPr lang="en-IN" sz="1600" baseline="0">
              <a:solidFill>
                <a:schemeClr val="bg1"/>
              </a:solidFill>
            </a:rPr>
            <a:t> TRACKER</a:t>
          </a:r>
          <a:endParaRPr lang="en-IN" sz="16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43</xdr:col>
      <xdr:colOff>476250</xdr:colOff>
      <xdr:row>2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9527500" y="1143000"/>
          <a:ext cx="2889250" cy="793750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IN" sz="1800" b="1">
              <a:solidFill>
                <a:schemeClr val="bg1"/>
              </a:solidFill>
            </a:rPr>
            <a:t>GO TO LEAVE</a:t>
          </a:r>
          <a:r>
            <a:rPr lang="en-IN" sz="1800" b="1" baseline="0">
              <a:solidFill>
                <a:schemeClr val="bg1"/>
              </a:solidFill>
            </a:rPr>
            <a:t> TRACKER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1</xdr:row>
      <xdr:rowOff>0</xdr:rowOff>
    </xdr:from>
    <xdr:to>
      <xdr:col>43</xdr:col>
      <xdr:colOff>261937</xdr:colOff>
      <xdr:row>1</xdr:row>
      <xdr:rowOff>547687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193625" y="1095375"/>
          <a:ext cx="2738437" cy="547687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800" b="1">
              <a:solidFill>
                <a:schemeClr val="bg1"/>
              </a:solidFill>
            </a:rPr>
            <a:t>GO TO LEAVE</a:t>
          </a:r>
          <a:r>
            <a:rPr lang="en-IN" sz="1800" b="1" baseline="0">
              <a:solidFill>
                <a:schemeClr val="bg1"/>
              </a:solidFill>
            </a:rPr>
            <a:t> TRACKER</a:t>
          </a:r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214310</xdr:colOff>
      <xdr:row>1</xdr:row>
      <xdr:rowOff>47624</xdr:rowOff>
    </xdr:from>
    <xdr:to>
      <xdr:col>20</xdr:col>
      <xdr:colOff>285749</xdr:colOff>
      <xdr:row>2</xdr:row>
      <xdr:rowOff>142874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765123" y="238124"/>
          <a:ext cx="3786189" cy="690563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2000" b="1"/>
            <a:t>GO TO SALARY TRACKER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</xdr:colOff>
      <xdr:row>1</xdr:row>
      <xdr:rowOff>19050</xdr:rowOff>
    </xdr:from>
    <xdr:to>
      <xdr:col>19</xdr:col>
      <xdr:colOff>114300</xdr:colOff>
      <xdr:row>2</xdr:row>
      <xdr:rowOff>133350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783800" y="228600"/>
          <a:ext cx="2743200" cy="571500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chemeClr val="tx1"/>
              </a:solidFill>
            </a:rPr>
            <a:t>GO TO LEAVE TRACKER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</xdr:row>
      <xdr:rowOff>114300</xdr:rowOff>
    </xdr:from>
    <xdr:to>
      <xdr:col>18</xdr:col>
      <xdr:colOff>285750</xdr:colOff>
      <xdr:row>2</xdr:row>
      <xdr:rowOff>247650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2764750" y="323850"/>
          <a:ext cx="2952750" cy="571500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tx1"/>
              </a:solidFill>
            </a:rPr>
            <a:t>GO</a:t>
          </a:r>
          <a:r>
            <a:rPr lang="en-IN" sz="1600" b="1" baseline="0">
              <a:solidFill>
                <a:schemeClr val="tx1"/>
              </a:solidFill>
            </a:rPr>
            <a:t> TO LEAVE TRACKER SHEET</a:t>
          </a:r>
          <a:endParaRPr lang="en-IN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261935</xdr:colOff>
      <xdr:row>3</xdr:row>
      <xdr:rowOff>47625</xdr:rowOff>
    </xdr:from>
    <xdr:to>
      <xdr:col>16</xdr:col>
      <xdr:colOff>47624</xdr:colOff>
      <xdr:row>4</xdr:row>
      <xdr:rowOff>-1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6789060" y="1214438"/>
          <a:ext cx="3333752" cy="714374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>
              <a:solidFill>
                <a:schemeClr val="tx1"/>
              </a:solidFill>
            </a:rPr>
            <a:t>GO TO LEAVE TRACKER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1</xdr:row>
      <xdr:rowOff>0</xdr:rowOff>
    </xdr:from>
    <xdr:to>
      <xdr:col>18</xdr:col>
      <xdr:colOff>552450</xdr:colOff>
      <xdr:row>2</xdr:row>
      <xdr:rowOff>57150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2707600" y="476250"/>
          <a:ext cx="2971800" cy="514350"/>
        </a:xfrm>
        <a:prstGeom prst="roundRect">
          <a:avLst>
            <a:gd name="adj" fmla="val 50000"/>
          </a:avLst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tx1"/>
              </a:solidFill>
            </a:rPr>
            <a:t>GO TO LEAVE TRACKER</a:t>
          </a:r>
          <a:r>
            <a:rPr lang="en-IN" sz="1600" b="1" baseline="0">
              <a:solidFill>
                <a:schemeClr val="tx1"/>
              </a:solidFill>
            </a:rPr>
            <a:t> SHEET</a:t>
          </a:r>
          <a:endParaRPr lang="en-IN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</xdr:row>
          <xdr:rowOff>60960</xdr:rowOff>
        </xdr:from>
        <xdr:to>
          <xdr:col>9</xdr:col>
          <xdr:colOff>784860</xdr:colOff>
          <xdr:row>6</xdr:row>
          <xdr:rowOff>441960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1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8</xdr:row>
          <xdr:rowOff>60960</xdr:rowOff>
        </xdr:from>
        <xdr:to>
          <xdr:col>9</xdr:col>
          <xdr:colOff>784860</xdr:colOff>
          <xdr:row>8</xdr:row>
          <xdr:rowOff>411480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1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10</xdr:row>
          <xdr:rowOff>60960</xdr:rowOff>
        </xdr:from>
        <xdr:to>
          <xdr:col>9</xdr:col>
          <xdr:colOff>784860</xdr:colOff>
          <xdr:row>10</xdr:row>
          <xdr:rowOff>441960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1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10</xdr:row>
          <xdr:rowOff>60960</xdr:rowOff>
        </xdr:from>
        <xdr:to>
          <xdr:col>9</xdr:col>
          <xdr:colOff>784860</xdr:colOff>
          <xdr:row>10</xdr:row>
          <xdr:rowOff>441960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12</xdr:row>
          <xdr:rowOff>60960</xdr:rowOff>
        </xdr:from>
        <xdr:to>
          <xdr:col>9</xdr:col>
          <xdr:colOff>754380</xdr:colOff>
          <xdr:row>12</xdr:row>
          <xdr:rowOff>441960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1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</xdr:colOff>
          <xdr:row>14</xdr:row>
          <xdr:rowOff>76200</xdr:rowOff>
        </xdr:from>
        <xdr:to>
          <xdr:col>9</xdr:col>
          <xdr:colOff>746760</xdr:colOff>
          <xdr:row>14</xdr:row>
          <xdr:rowOff>403860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1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16</xdr:row>
          <xdr:rowOff>60960</xdr:rowOff>
        </xdr:from>
        <xdr:to>
          <xdr:col>9</xdr:col>
          <xdr:colOff>784860</xdr:colOff>
          <xdr:row>16</xdr:row>
          <xdr:rowOff>441960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1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22</xdr:row>
          <xdr:rowOff>213360</xdr:rowOff>
        </xdr:from>
        <xdr:to>
          <xdr:col>9</xdr:col>
          <xdr:colOff>800100</xdr:colOff>
          <xdr:row>22</xdr:row>
          <xdr:rowOff>594360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1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18</xdr:row>
          <xdr:rowOff>60960</xdr:rowOff>
        </xdr:from>
        <xdr:to>
          <xdr:col>9</xdr:col>
          <xdr:colOff>784860</xdr:colOff>
          <xdr:row>18</xdr:row>
          <xdr:rowOff>441960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1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20</xdr:row>
          <xdr:rowOff>106680</xdr:rowOff>
        </xdr:from>
        <xdr:to>
          <xdr:col>9</xdr:col>
          <xdr:colOff>784860</xdr:colOff>
          <xdr:row>20</xdr:row>
          <xdr:rowOff>487680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18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6</xdr:row>
          <xdr:rowOff>60960</xdr:rowOff>
        </xdr:from>
        <xdr:to>
          <xdr:col>17</xdr:col>
          <xdr:colOff>487680</xdr:colOff>
          <xdr:row>6</xdr:row>
          <xdr:rowOff>426720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18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8</xdr:row>
          <xdr:rowOff>60960</xdr:rowOff>
        </xdr:from>
        <xdr:to>
          <xdr:col>17</xdr:col>
          <xdr:colOff>525780</xdr:colOff>
          <xdr:row>8</xdr:row>
          <xdr:rowOff>403860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1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10</xdr:row>
          <xdr:rowOff>60960</xdr:rowOff>
        </xdr:from>
        <xdr:to>
          <xdr:col>17</xdr:col>
          <xdr:colOff>502920</xdr:colOff>
          <xdr:row>10</xdr:row>
          <xdr:rowOff>365760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1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12</xdr:row>
          <xdr:rowOff>60960</xdr:rowOff>
        </xdr:from>
        <xdr:to>
          <xdr:col>17</xdr:col>
          <xdr:colOff>502920</xdr:colOff>
          <xdr:row>12</xdr:row>
          <xdr:rowOff>426720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18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14</xdr:row>
          <xdr:rowOff>60960</xdr:rowOff>
        </xdr:from>
        <xdr:to>
          <xdr:col>17</xdr:col>
          <xdr:colOff>502920</xdr:colOff>
          <xdr:row>14</xdr:row>
          <xdr:rowOff>419100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18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16</xdr:row>
          <xdr:rowOff>60960</xdr:rowOff>
        </xdr:from>
        <xdr:to>
          <xdr:col>17</xdr:col>
          <xdr:colOff>502920</xdr:colOff>
          <xdr:row>16</xdr:row>
          <xdr:rowOff>464820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18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18</xdr:row>
          <xdr:rowOff>144780</xdr:rowOff>
        </xdr:from>
        <xdr:to>
          <xdr:col>17</xdr:col>
          <xdr:colOff>502920</xdr:colOff>
          <xdr:row>18</xdr:row>
          <xdr:rowOff>556260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18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20</xdr:row>
          <xdr:rowOff>60960</xdr:rowOff>
        </xdr:from>
        <xdr:to>
          <xdr:col>17</xdr:col>
          <xdr:colOff>525780</xdr:colOff>
          <xdr:row>20</xdr:row>
          <xdr:rowOff>449580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18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22</xdr:row>
          <xdr:rowOff>83820</xdr:rowOff>
        </xdr:from>
        <xdr:to>
          <xdr:col>17</xdr:col>
          <xdr:colOff>419100</xdr:colOff>
          <xdr:row>22</xdr:row>
          <xdr:rowOff>525780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18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127000</xdr:colOff>
      <xdr:row>1</xdr:row>
      <xdr:rowOff>23813</xdr:rowOff>
    </xdr:from>
    <xdr:to>
      <xdr:col>24</xdr:col>
      <xdr:colOff>285750</xdr:colOff>
      <xdr:row>4</xdr:row>
      <xdr:rowOff>162719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367250" y="428626"/>
          <a:ext cx="1980406" cy="1210468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bg1"/>
              </a:solidFill>
            </a:rPr>
            <a:t>GO TO EMPLOYEE DETAILS</a:t>
          </a:r>
        </a:p>
      </xdr:txBody>
    </xdr:sp>
    <xdr:clientData/>
  </xdr:twoCellAnchor>
  <xdr:twoCellAnchor>
    <xdr:from>
      <xdr:col>21</xdr:col>
      <xdr:colOff>158749</xdr:colOff>
      <xdr:row>5</xdr:row>
      <xdr:rowOff>15874</xdr:rowOff>
    </xdr:from>
    <xdr:to>
      <xdr:col>24</xdr:col>
      <xdr:colOff>301625</xdr:colOff>
      <xdr:row>8</xdr:row>
      <xdr:rowOff>130968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7398999" y="1730374"/>
          <a:ext cx="1964532" cy="960438"/>
        </a:xfrm>
        <a:prstGeom prst="roundRect">
          <a:avLst>
            <a:gd name="adj" fmla="val 50000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bg1"/>
              </a:solidFill>
            </a:rPr>
            <a:t>GO TO LEAVE TRACKER</a:t>
          </a:r>
        </a:p>
      </xdr:txBody>
    </xdr:sp>
    <xdr:clientData/>
  </xdr:twoCellAnchor>
  <xdr:twoCellAnchor>
    <xdr:from>
      <xdr:col>21</xdr:col>
      <xdr:colOff>202405</xdr:colOff>
      <xdr:row>8</xdr:row>
      <xdr:rowOff>220662</xdr:rowOff>
    </xdr:from>
    <xdr:to>
      <xdr:col>24</xdr:col>
      <xdr:colOff>202406</xdr:colOff>
      <xdr:row>10</xdr:row>
      <xdr:rowOff>452437</xdr:rowOff>
    </xdr:to>
    <xdr:sp macro="" textlink="">
      <xdr:nvSpPr>
        <xdr:cNvPr id="4" name="Rounded 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42655" y="2780506"/>
          <a:ext cx="1821657" cy="838994"/>
        </a:xfrm>
        <a:prstGeom prst="roundRect">
          <a:avLst>
            <a:gd name="adj" fmla="val 46987"/>
          </a:avLst>
        </a:prstGeom>
        <a:solidFill>
          <a:schemeClr val="accent5">
            <a:lumMod val="7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600" b="1">
              <a:solidFill>
                <a:schemeClr val="bg1"/>
              </a:solidFill>
            </a:rPr>
            <a:t>GO</a:t>
          </a:r>
          <a:r>
            <a:rPr lang="en-IN" sz="1600" b="1"/>
            <a:t> </a:t>
          </a:r>
          <a:r>
            <a:rPr lang="en-IN" sz="1600" b="1">
              <a:solidFill>
                <a:schemeClr val="bg1"/>
              </a:solidFill>
            </a:rPr>
            <a:t>TO SALARY TRACKER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D4:U12"/>
  <sheetViews>
    <sheetView showGridLines="0" topLeftCell="B1" workbookViewId="0">
      <selection activeCell="T18" sqref="T18"/>
    </sheetView>
  </sheetViews>
  <sheetFormatPr defaultRowHeight="14.4" x14ac:dyDescent="0.3"/>
  <sheetData>
    <row r="4" spans="4:21" x14ac:dyDescent="0.3">
      <c r="G4" s="251" t="s">
        <v>1</v>
      </c>
      <c r="H4" s="251"/>
      <c r="I4" s="251"/>
      <c r="J4" s="251"/>
      <c r="K4" s="251"/>
      <c r="L4" s="251"/>
      <c r="M4" s="251"/>
      <c r="N4" s="251"/>
      <c r="O4" s="251"/>
    </row>
    <row r="5" spans="4:21" x14ac:dyDescent="0.3">
      <c r="G5" s="251"/>
      <c r="H5" s="251"/>
      <c r="I5" s="251"/>
      <c r="J5" s="251"/>
      <c r="K5" s="251"/>
      <c r="L5" s="251"/>
      <c r="M5" s="251"/>
      <c r="N5" s="251"/>
      <c r="O5" s="251"/>
    </row>
    <row r="6" spans="4:21" x14ac:dyDescent="0.3">
      <c r="G6" s="251"/>
      <c r="H6" s="251"/>
      <c r="I6" s="251"/>
      <c r="J6" s="251"/>
      <c r="K6" s="251"/>
      <c r="L6" s="251"/>
      <c r="M6" s="251"/>
      <c r="N6" s="251"/>
      <c r="O6" s="251"/>
    </row>
    <row r="8" spans="4:21" x14ac:dyDescent="0.3">
      <c r="D8" s="249" t="s">
        <v>0</v>
      </c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</row>
    <row r="9" spans="4:21" x14ac:dyDescent="0.3"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</row>
    <row r="10" spans="4:21" x14ac:dyDescent="0.3"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</row>
    <row r="11" spans="4:21" x14ac:dyDescent="0.3"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</row>
    <row r="12" spans="4:21" x14ac:dyDescent="0.3"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</row>
  </sheetData>
  <mergeCells count="2">
    <mergeCell ref="D8:U12"/>
    <mergeCell ref="G4:O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1:M27"/>
  <sheetViews>
    <sheetView showGridLines="0" workbookViewId="0"/>
  </sheetViews>
  <sheetFormatPr defaultRowHeight="14.4" x14ac:dyDescent="0.3"/>
  <cols>
    <col min="6" max="6" width="29.44140625" customWidth="1"/>
    <col min="7" max="7" width="17.5546875" customWidth="1"/>
    <col min="8" max="8" width="9.109375" hidden="1" customWidth="1"/>
  </cols>
  <sheetData>
    <row r="1" spans="5:13" ht="27.75" customHeight="1" x14ac:dyDescent="0.55000000000000004">
      <c r="E1" s="252" t="s">
        <v>99</v>
      </c>
      <c r="F1" s="253"/>
      <c r="G1" s="253"/>
      <c r="H1" s="254"/>
      <c r="I1" s="81"/>
      <c r="J1" s="81"/>
      <c r="K1" s="81"/>
      <c r="L1" s="81"/>
      <c r="M1" s="81"/>
    </row>
    <row r="2" spans="5:13" ht="15" customHeight="1" x14ac:dyDescent="0.55000000000000004">
      <c r="E2" s="255"/>
      <c r="F2" s="256"/>
      <c r="G2" s="256"/>
      <c r="H2" s="257"/>
      <c r="I2" s="81"/>
      <c r="J2" s="81"/>
      <c r="K2" s="81"/>
      <c r="L2" s="81"/>
      <c r="M2" s="81"/>
    </row>
    <row r="3" spans="5:13" x14ac:dyDescent="0.3">
      <c r="E3" s="189">
        <v>1</v>
      </c>
      <c r="F3" s="76" t="str">
        <f>INDEX(ListWorksheets,E3)</f>
        <v>TITLE</v>
      </c>
      <c r="G3" s="78" t="str">
        <f>HYPERLINK("#'TITLE'!A1","GO TO SHEET")</f>
        <v>GO TO SHEET</v>
      </c>
      <c r="H3" s="190"/>
    </row>
    <row r="4" spans="5:13" x14ac:dyDescent="0.3">
      <c r="E4" s="189">
        <v>2</v>
      </c>
      <c r="F4" s="76" t="str">
        <f>INDEX(ListWorksheets,E4)</f>
        <v>Table of contents</v>
      </c>
      <c r="G4" s="78" t="str">
        <f>HYPERLINK("#'"&amp;F4&amp;"'!A1","GO TO SHEET")</f>
        <v>GO TO SHEET</v>
      </c>
      <c r="H4" s="190"/>
    </row>
    <row r="5" spans="5:13" x14ac:dyDescent="0.3">
      <c r="E5" s="189">
        <v>3</v>
      </c>
      <c r="F5" s="76" t="str">
        <f t="shared" ref="F5:F27" si="0">INDEX(ListWorksheets,E5)</f>
        <v>EMPLOYEE DETAILS</v>
      </c>
      <c r="G5" s="78" t="str">
        <f t="shared" ref="G5:G27" si="1">HYPERLINK("#'"&amp;F5&amp;"'!A1","GO TO SHEET")</f>
        <v>GO TO SHEET</v>
      </c>
      <c r="H5" s="190"/>
    </row>
    <row r="6" spans="5:13" x14ac:dyDescent="0.3">
      <c r="E6" s="189">
        <v>4</v>
      </c>
      <c r="F6" s="76" t="str">
        <f t="shared" si="0"/>
        <v xml:space="preserve"> DEPARTMENTS</v>
      </c>
      <c r="G6" s="78" t="str">
        <f t="shared" si="1"/>
        <v>GO TO SHEET</v>
      </c>
      <c r="H6" s="190"/>
    </row>
    <row r="7" spans="5:13" x14ac:dyDescent="0.3">
      <c r="E7" s="189">
        <v>5</v>
      </c>
      <c r="F7" s="76" t="str">
        <f t="shared" si="0"/>
        <v>LEAVE TITLE</v>
      </c>
      <c r="G7" s="78" t="str">
        <f t="shared" si="1"/>
        <v>GO TO SHEET</v>
      </c>
      <c r="H7" s="190"/>
    </row>
    <row r="8" spans="5:13" x14ac:dyDescent="0.3">
      <c r="E8" s="189">
        <v>6</v>
      </c>
      <c r="F8" s="76" t="str">
        <f t="shared" si="0"/>
        <v>JANUARY</v>
      </c>
      <c r="G8" s="78" t="str">
        <f t="shared" si="1"/>
        <v>GO TO SHEET</v>
      </c>
      <c r="H8" s="190"/>
    </row>
    <row r="9" spans="5:13" x14ac:dyDescent="0.3">
      <c r="E9" s="189">
        <v>7</v>
      </c>
      <c r="F9" s="76" t="str">
        <f t="shared" si="0"/>
        <v>FEBRUARY</v>
      </c>
      <c r="G9" s="78" t="str">
        <f t="shared" si="1"/>
        <v>GO TO SHEET</v>
      </c>
      <c r="H9" s="190"/>
    </row>
    <row r="10" spans="5:13" x14ac:dyDescent="0.3">
      <c r="E10" s="189">
        <v>8</v>
      </c>
      <c r="F10" s="76" t="str">
        <f t="shared" si="0"/>
        <v>MARCH</v>
      </c>
      <c r="G10" s="78" t="str">
        <f t="shared" si="1"/>
        <v>GO TO SHEET</v>
      </c>
      <c r="H10" s="190"/>
    </row>
    <row r="11" spans="5:13" x14ac:dyDescent="0.3">
      <c r="E11" s="189">
        <v>9</v>
      </c>
      <c r="F11" s="76" t="str">
        <f t="shared" si="0"/>
        <v>APRIL</v>
      </c>
      <c r="G11" s="78" t="str">
        <f t="shared" si="1"/>
        <v>GO TO SHEET</v>
      </c>
      <c r="H11" s="190"/>
    </row>
    <row r="12" spans="5:13" x14ac:dyDescent="0.3">
      <c r="E12" s="189">
        <v>10</v>
      </c>
      <c r="F12" s="76" t="str">
        <f t="shared" si="0"/>
        <v>MAY</v>
      </c>
      <c r="G12" s="78" t="str">
        <f t="shared" si="1"/>
        <v>GO TO SHEET</v>
      </c>
      <c r="H12" s="190"/>
    </row>
    <row r="13" spans="5:13" x14ac:dyDescent="0.3">
      <c r="E13" s="189">
        <v>11</v>
      </c>
      <c r="F13" s="76" t="str">
        <f t="shared" si="0"/>
        <v>JUNE</v>
      </c>
      <c r="G13" s="78" t="str">
        <f t="shared" si="1"/>
        <v>GO TO SHEET</v>
      </c>
      <c r="H13" s="190"/>
    </row>
    <row r="14" spans="5:13" x14ac:dyDescent="0.3">
      <c r="E14" s="189">
        <v>12</v>
      </c>
      <c r="F14" s="76" t="str">
        <f t="shared" si="0"/>
        <v>JULY</v>
      </c>
      <c r="G14" s="78" t="str">
        <f t="shared" si="1"/>
        <v>GO TO SHEET</v>
      </c>
      <c r="H14" s="190"/>
    </row>
    <row r="15" spans="5:13" x14ac:dyDescent="0.3">
      <c r="E15" s="189">
        <v>13</v>
      </c>
      <c r="F15" s="76" t="str">
        <f t="shared" si="0"/>
        <v>AUGUST</v>
      </c>
      <c r="G15" s="78" t="str">
        <f t="shared" si="1"/>
        <v>GO TO SHEET</v>
      </c>
      <c r="H15" s="190"/>
    </row>
    <row r="16" spans="5:13" x14ac:dyDescent="0.3">
      <c r="E16" s="189">
        <v>14</v>
      </c>
      <c r="F16" s="76" t="str">
        <f t="shared" si="0"/>
        <v>SEPTEMBER</v>
      </c>
      <c r="G16" s="78" t="str">
        <f t="shared" si="1"/>
        <v>GO TO SHEET</v>
      </c>
      <c r="H16" s="190"/>
    </row>
    <row r="17" spans="5:8" x14ac:dyDescent="0.3">
      <c r="E17" s="189">
        <v>15</v>
      </c>
      <c r="F17" s="76" t="str">
        <f t="shared" si="0"/>
        <v>OCTOBER</v>
      </c>
      <c r="G17" s="78" t="str">
        <f t="shared" si="1"/>
        <v>GO TO SHEET</v>
      </c>
      <c r="H17" s="190"/>
    </row>
    <row r="18" spans="5:8" x14ac:dyDescent="0.3">
      <c r="E18" s="189">
        <v>16</v>
      </c>
      <c r="F18" s="76" t="str">
        <f t="shared" si="0"/>
        <v>NOVEMBER</v>
      </c>
      <c r="G18" s="78" t="str">
        <f t="shared" si="1"/>
        <v>GO TO SHEET</v>
      </c>
      <c r="H18" s="190"/>
    </row>
    <row r="19" spans="5:8" x14ac:dyDescent="0.3">
      <c r="E19" s="189">
        <v>17</v>
      </c>
      <c r="F19" s="76" t="str">
        <f t="shared" si="0"/>
        <v>DECEMBER</v>
      </c>
      <c r="G19" s="78" t="str">
        <f t="shared" si="1"/>
        <v>GO TO SHEET</v>
      </c>
      <c r="H19" s="190"/>
    </row>
    <row r="20" spans="5:8" x14ac:dyDescent="0.3">
      <c r="E20" s="189">
        <v>18</v>
      </c>
      <c r="F20" s="76" t="str">
        <f t="shared" si="0"/>
        <v xml:space="preserve"> LEAVE TRACKER</v>
      </c>
      <c r="G20" s="78" t="str">
        <f t="shared" si="1"/>
        <v>GO TO SHEET</v>
      </c>
      <c r="H20" s="190"/>
    </row>
    <row r="21" spans="5:8" x14ac:dyDescent="0.3">
      <c r="E21" s="189">
        <v>19</v>
      </c>
      <c r="F21" s="76" t="str">
        <f t="shared" si="0"/>
        <v>SALARY(HR DEPT)</v>
      </c>
      <c r="G21" s="78" t="str">
        <f t="shared" si="1"/>
        <v>GO TO SHEET</v>
      </c>
      <c r="H21" s="190"/>
    </row>
    <row r="22" spans="5:8" x14ac:dyDescent="0.3">
      <c r="E22" s="189">
        <v>20</v>
      </c>
      <c r="F22" s="76" t="str">
        <f t="shared" si="0"/>
        <v>SALARY(IT DEPT)</v>
      </c>
      <c r="G22" s="78" t="str">
        <f t="shared" si="1"/>
        <v>GO TO SHEET</v>
      </c>
      <c r="H22" s="190"/>
    </row>
    <row r="23" spans="5:8" x14ac:dyDescent="0.3">
      <c r="E23" s="189">
        <v>21</v>
      </c>
      <c r="F23" s="76" t="str">
        <f t="shared" si="0"/>
        <v>SALARY(FINANCE DEPT)</v>
      </c>
      <c r="G23" s="78" t="str">
        <f t="shared" si="1"/>
        <v>GO TO SHEET</v>
      </c>
      <c r="H23" s="190"/>
    </row>
    <row r="24" spans="5:8" x14ac:dyDescent="0.3">
      <c r="E24" s="189">
        <v>22</v>
      </c>
      <c r="F24" s="76" t="str">
        <f t="shared" si="0"/>
        <v>SALARY(MARKETING DEPT)</v>
      </c>
      <c r="G24" s="78" t="str">
        <f t="shared" si="1"/>
        <v>GO TO SHEET</v>
      </c>
      <c r="H24" s="190"/>
    </row>
    <row r="25" spans="5:8" x14ac:dyDescent="0.3">
      <c r="E25" s="189">
        <v>23</v>
      </c>
      <c r="F25" s="76" t="str">
        <f t="shared" si="0"/>
        <v>SALARY(SALES DEPT)</v>
      </c>
      <c r="G25" s="78" t="str">
        <f t="shared" si="1"/>
        <v>GO TO SHEET</v>
      </c>
      <c r="H25" s="190"/>
    </row>
    <row r="26" spans="5:8" x14ac:dyDescent="0.3">
      <c r="E26" s="189">
        <v>24</v>
      </c>
      <c r="F26" s="76" t="str">
        <f t="shared" si="0"/>
        <v>SALARY TRACKER</v>
      </c>
      <c r="G26" s="78" t="str">
        <f t="shared" si="1"/>
        <v>GO TO SHEET</v>
      </c>
      <c r="H26" s="190"/>
    </row>
    <row r="27" spans="5:8" ht="15" thickBot="1" x14ac:dyDescent="0.35">
      <c r="E27" s="13">
        <v>25</v>
      </c>
      <c r="F27" s="14" t="str">
        <f t="shared" si="0"/>
        <v>AUTOMATED REPORTS</v>
      </c>
      <c r="G27" s="191" t="str">
        <f t="shared" si="1"/>
        <v>GO TO SHEET</v>
      </c>
      <c r="H27" s="192"/>
    </row>
  </sheetData>
  <mergeCells count="1">
    <mergeCell ref="E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M24"/>
  <sheetViews>
    <sheetView showGridLines="0" zoomScale="40" zoomScaleNormal="40" workbookViewId="0"/>
  </sheetViews>
  <sheetFormatPr defaultRowHeight="14.4" x14ac:dyDescent="0.3"/>
  <cols>
    <col min="1" max="1" width="26" customWidth="1"/>
    <col min="3" max="3" width="14.109375" customWidth="1"/>
    <col min="4" max="4" width="17.5546875" customWidth="1"/>
    <col min="5" max="5" width="24.88671875" customWidth="1"/>
    <col min="6" max="6" width="29.33203125" customWidth="1"/>
    <col min="7" max="7" width="27.5546875" customWidth="1"/>
    <col min="8" max="8" width="15.33203125" customWidth="1"/>
    <col min="9" max="9" width="18.109375" customWidth="1"/>
    <col min="10" max="10" width="29.33203125" customWidth="1"/>
    <col min="11" max="11" width="32.33203125" customWidth="1"/>
    <col min="12" max="12" width="30.44140625" customWidth="1"/>
    <col min="13" max="13" width="33" customWidth="1"/>
  </cols>
  <sheetData>
    <row r="1" spans="1:13" ht="61.5" customHeight="1" x14ac:dyDescent="0.3"/>
    <row r="2" spans="1:13" ht="49.5" customHeight="1" x14ac:dyDescent="0.85">
      <c r="A2" s="193" t="str">
        <f>HYPERLINK("#'Table Of contents'!B1","GO TO TOC SHEET")</f>
        <v>GO TO TOC SHEET</v>
      </c>
      <c r="D2" s="258" t="s">
        <v>91</v>
      </c>
      <c r="E2" s="259"/>
      <c r="F2" s="259"/>
      <c r="G2" s="259"/>
      <c r="H2" s="259"/>
      <c r="I2" s="259"/>
      <c r="J2" s="259"/>
      <c r="K2" s="259"/>
      <c r="L2" s="259"/>
      <c r="M2" s="260"/>
    </row>
    <row r="3" spans="1:13" ht="35.25" customHeight="1" x14ac:dyDescent="0.3">
      <c r="D3" s="261" t="s">
        <v>89</v>
      </c>
      <c r="E3" s="262"/>
      <c r="F3" s="262"/>
      <c r="G3" s="262"/>
      <c r="H3" s="262"/>
      <c r="I3" s="262"/>
      <c r="J3" s="262"/>
      <c r="K3" s="262"/>
      <c r="L3" s="262"/>
      <c r="M3" s="263"/>
    </row>
    <row r="4" spans="1:13" ht="45.75" customHeight="1" x14ac:dyDescent="0.3">
      <c r="D4" s="79" t="s">
        <v>100</v>
      </c>
      <c r="E4" s="80" t="s">
        <v>2</v>
      </c>
      <c r="F4" s="80" t="s">
        <v>3</v>
      </c>
      <c r="G4" s="80" t="s">
        <v>24</v>
      </c>
      <c r="H4" s="80" t="s">
        <v>25</v>
      </c>
      <c r="I4" s="80" t="s">
        <v>26</v>
      </c>
      <c r="J4" s="80" t="s">
        <v>27</v>
      </c>
      <c r="K4" s="80" t="s">
        <v>28</v>
      </c>
      <c r="L4" s="80" t="s">
        <v>29</v>
      </c>
      <c r="M4" s="80" t="s">
        <v>30</v>
      </c>
    </row>
    <row r="5" spans="1:13" ht="28.8" x14ac:dyDescent="0.55000000000000004">
      <c r="D5" s="77">
        <v>1</v>
      </c>
      <c r="E5" s="71">
        <v>3427</v>
      </c>
      <c r="F5" s="71" t="s">
        <v>4</v>
      </c>
      <c r="G5" s="71" t="s">
        <v>31</v>
      </c>
      <c r="H5" s="71">
        <v>25</v>
      </c>
      <c r="I5" s="71" t="s">
        <v>32</v>
      </c>
      <c r="J5" s="71" t="s">
        <v>33</v>
      </c>
      <c r="K5" s="71" t="s">
        <v>34</v>
      </c>
      <c r="L5" s="72">
        <v>43728</v>
      </c>
      <c r="M5" s="71" t="s">
        <v>35</v>
      </c>
    </row>
    <row r="6" spans="1:13" ht="28.8" x14ac:dyDescent="0.55000000000000004">
      <c r="D6" s="77">
        <v>2</v>
      </c>
      <c r="E6" s="71">
        <v>3428</v>
      </c>
      <c r="F6" s="71" t="s">
        <v>5</v>
      </c>
      <c r="G6" s="71" t="s">
        <v>36</v>
      </c>
      <c r="H6" s="71">
        <v>30</v>
      </c>
      <c r="I6" s="71" t="s">
        <v>37</v>
      </c>
      <c r="J6" s="71" t="s">
        <v>38</v>
      </c>
      <c r="K6" s="71" t="s">
        <v>39</v>
      </c>
      <c r="L6" s="72">
        <v>44968</v>
      </c>
      <c r="M6" s="71" t="s">
        <v>35</v>
      </c>
    </row>
    <row r="7" spans="1:13" ht="28.8" x14ac:dyDescent="0.55000000000000004">
      <c r="D7" s="77">
        <v>3</v>
      </c>
      <c r="E7" s="71">
        <v>3429</v>
      </c>
      <c r="F7" s="71" t="s">
        <v>6</v>
      </c>
      <c r="G7" s="71" t="s">
        <v>40</v>
      </c>
      <c r="H7" s="71">
        <v>35</v>
      </c>
      <c r="I7" s="71" t="s">
        <v>37</v>
      </c>
      <c r="J7" s="71" t="s">
        <v>41</v>
      </c>
      <c r="K7" s="71" t="s">
        <v>42</v>
      </c>
      <c r="L7" s="73">
        <v>43444</v>
      </c>
      <c r="M7" s="71" t="s">
        <v>35</v>
      </c>
    </row>
    <row r="8" spans="1:13" ht="28.8" x14ac:dyDescent="0.55000000000000004">
      <c r="D8" s="77">
        <v>4</v>
      </c>
      <c r="E8" s="71">
        <v>3430</v>
      </c>
      <c r="F8" s="71" t="s">
        <v>7</v>
      </c>
      <c r="G8" s="71" t="s">
        <v>43</v>
      </c>
      <c r="H8" s="71">
        <v>40</v>
      </c>
      <c r="I8" s="71" t="s">
        <v>37</v>
      </c>
      <c r="J8" s="71" t="s">
        <v>44</v>
      </c>
      <c r="K8" s="71" t="s">
        <v>45</v>
      </c>
      <c r="L8" s="73">
        <v>44368</v>
      </c>
      <c r="M8" s="71" t="s">
        <v>35</v>
      </c>
    </row>
    <row r="9" spans="1:13" ht="28.8" x14ac:dyDescent="0.55000000000000004">
      <c r="D9" s="77">
        <v>5</v>
      </c>
      <c r="E9" s="71">
        <v>3431</v>
      </c>
      <c r="F9" s="71" t="s">
        <v>8</v>
      </c>
      <c r="G9" s="71" t="s">
        <v>46</v>
      </c>
      <c r="H9" s="71">
        <v>45</v>
      </c>
      <c r="I9" s="71" t="s">
        <v>32</v>
      </c>
      <c r="J9" s="71" t="s">
        <v>47</v>
      </c>
      <c r="K9" s="71" t="s">
        <v>48</v>
      </c>
      <c r="L9" s="73">
        <v>43645</v>
      </c>
      <c r="M9" s="71" t="s">
        <v>35</v>
      </c>
    </row>
    <row r="10" spans="1:13" ht="28.8" x14ac:dyDescent="0.55000000000000004">
      <c r="D10" s="77">
        <v>6</v>
      </c>
      <c r="E10" s="71">
        <v>3432</v>
      </c>
      <c r="F10" s="71" t="s">
        <v>9</v>
      </c>
      <c r="G10" s="71" t="s">
        <v>49</v>
      </c>
      <c r="H10" s="71">
        <v>50</v>
      </c>
      <c r="I10" s="71" t="s">
        <v>37</v>
      </c>
      <c r="J10" s="71" t="s">
        <v>33</v>
      </c>
      <c r="K10" s="71" t="s">
        <v>34</v>
      </c>
      <c r="L10" s="73">
        <v>43847</v>
      </c>
      <c r="M10" s="71" t="s">
        <v>35</v>
      </c>
    </row>
    <row r="11" spans="1:13" ht="28.8" x14ac:dyDescent="0.55000000000000004">
      <c r="D11" s="77">
        <v>7</v>
      </c>
      <c r="E11" s="71">
        <v>3433</v>
      </c>
      <c r="F11" s="71" t="s">
        <v>10</v>
      </c>
      <c r="G11" s="71" t="s">
        <v>50</v>
      </c>
      <c r="H11" s="71">
        <v>28</v>
      </c>
      <c r="I11" s="71" t="s">
        <v>32</v>
      </c>
      <c r="J11" s="71" t="s">
        <v>38</v>
      </c>
      <c r="K11" s="71" t="s">
        <v>39</v>
      </c>
      <c r="L11" s="73">
        <v>44657</v>
      </c>
      <c r="M11" s="71" t="s">
        <v>35</v>
      </c>
    </row>
    <row r="12" spans="1:13" ht="28.8" x14ac:dyDescent="0.55000000000000004">
      <c r="D12" s="77">
        <v>8</v>
      </c>
      <c r="E12" s="71">
        <v>3434</v>
      </c>
      <c r="F12" s="71" t="s">
        <v>11</v>
      </c>
      <c r="G12" s="71" t="s">
        <v>51</v>
      </c>
      <c r="H12" s="71">
        <v>33</v>
      </c>
      <c r="I12" s="71" t="s">
        <v>32</v>
      </c>
      <c r="J12" s="71" t="s">
        <v>41</v>
      </c>
      <c r="K12" s="71" t="s">
        <v>42</v>
      </c>
      <c r="L12" s="73">
        <v>44141</v>
      </c>
      <c r="M12" s="71" t="s">
        <v>35</v>
      </c>
    </row>
    <row r="13" spans="1:13" ht="28.8" x14ac:dyDescent="0.55000000000000004">
      <c r="D13" s="77">
        <v>9</v>
      </c>
      <c r="E13" s="71">
        <v>3435</v>
      </c>
      <c r="F13" s="71" t="s">
        <v>12</v>
      </c>
      <c r="G13" s="71" t="s">
        <v>52</v>
      </c>
      <c r="H13" s="71">
        <v>38</v>
      </c>
      <c r="I13" s="71" t="s">
        <v>37</v>
      </c>
      <c r="J13" s="71" t="s">
        <v>44</v>
      </c>
      <c r="K13" s="71" t="s">
        <v>45</v>
      </c>
      <c r="L13" s="73">
        <v>43330</v>
      </c>
      <c r="M13" s="71" t="s">
        <v>35</v>
      </c>
    </row>
    <row r="14" spans="1:13" ht="28.8" x14ac:dyDescent="0.55000000000000004">
      <c r="D14" s="77">
        <v>10</v>
      </c>
      <c r="E14" s="71">
        <v>3436</v>
      </c>
      <c r="F14" s="71" t="s">
        <v>13</v>
      </c>
      <c r="G14" s="71" t="s">
        <v>53</v>
      </c>
      <c r="H14" s="71">
        <v>43</v>
      </c>
      <c r="I14" s="71" t="s">
        <v>37</v>
      </c>
      <c r="J14" s="71" t="s">
        <v>47</v>
      </c>
      <c r="K14" s="71" t="s">
        <v>48</v>
      </c>
      <c r="L14" s="73">
        <v>44582</v>
      </c>
      <c r="M14" s="71" t="s">
        <v>35</v>
      </c>
    </row>
    <row r="15" spans="1:13" ht="28.8" x14ac:dyDescent="0.55000000000000004">
      <c r="D15" s="77">
        <v>11</v>
      </c>
      <c r="E15" s="71">
        <v>3437</v>
      </c>
      <c r="F15" s="71" t="s">
        <v>14</v>
      </c>
      <c r="G15" s="71" t="s">
        <v>54</v>
      </c>
      <c r="H15" s="71">
        <v>48</v>
      </c>
      <c r="I15" s="71" t="s">
        <v>32</v>
      </c>
      <c r="J15" s="71" t="s">
        <v>33</v>
      </c>
      <c r="K15" s="71" t="s">
        <v>34</v>
      </c>
      <c r="L15" s="73">
        <v>45142</v>
      </c>
      <c r="M15" s="71" t="s">
        <v>35</v>
      </c>
    </row>
    <row r="16" spans="1:13" ht="28.8" x14ac:dyDescent="0.55000000000000004">
      <c r="D16" s="77">
        <v>12</v>
      </c>
      <c r="E16" s="71">
        <v>3438</v>
      </c>
      <c r="F16" s="71" t="s">
        <v>15</v>
      </c>
      <c r="G16" s="71" t="s">
        <v>55</v>
      </c>
      <c r="H16" s="71">
        <v>27</v>
      </c>
      <c r="I16" s="71" t="s">
        <v>32</v>
      </c>
      <c r="J16" s="71" t="s">
        <v>38</v>
      </c>
      <c r="K16" s="71" t="s">
        <v>39</v>
      </c>
      <c r="L16" s="73">
        <v>43322</v>
      </c>
      <c r="M16" s="71" t="s">
        <v>35</v>
      </c>
    </row>
    <row r="17" spans="4:13" ht="28.8" x14ac:dyDescent="0.55000000000000004">
      <c r="D17" s="77">
        <v>13</v>
      </c>
      <c r="E17" s="71">
        <v>3439</v>
      </c>
      <c r="F17" s="71" t="s">
        <v>16</v>
      </c>
      <c r="G17" s="71" t="s">
        <v>56</v>
      </c>
      <c r="H17" s="71">
        <v>32</v>
      </c>
      <c r="I17" s="71" t="s">
        <v>37</v>
      </c>
      <c r="J17" s="71" t="s">
        <v>41</v>
      </c>
      <c r="K17" s="71" t="s">
        <v>42</v>
      </c>
      <c r="L17" s="73">
        <v>44706</v>
      </c>
      <c r="M17" s="71" t="s">
        <v>35</v>
      </c>
    </row>
    <row r="18" spans="4:13" ht="28.8" x14ac:dyDescent="0.55000000000000004">
      <c r="D18" s="77">
        <v>14</v>
      </c>
      <c r="E18" s="71">
        <v>3440</v>
      </c>
      <c r="F18" s="71" t="s">
        <v>17</v>
      </c>
      <c r="G18" s="71" t="s">
        <v>57</v>
      </c>
      <c r="H18" s="71">
        <v>37</v>
      </c>
      <c r="I18" s="71" t="s">
        <v>32</v>
      </c>
      <c r="J18" s="71" t="s">
        <v>44</v>
      </c>
      <c r="K18" s="71" t="s">
        <v>45</v>
      </c>
      <c r="L18" s="73">
        <v>43804</v>
      </c>
      <c r="M18" s="71" t="s">
        <v>35</v>
      </c>
    </row>
    <row r="19" spans="4:13" ht="28.8" x14ac:dyDescent="0.55000000000000004">
      <c r="D19" s="77">
        <v>15</v>
      </c>
      <c r="E19" s="71">
        <v>3441</v>
      </c>
      <c r="F19" s="71" t="s">
        <v>18</v>
      </c>
      <c r="G19" s="71" t="s">
        <v>58</v>
      </c>
      <c r="H19" s="71">
        <v>42</v>
      </c>
      <c r="I19" s="71" t="s">
        <v>37</v>
      </c>
      <c r="J19" s="71" t="s">
        <v>47</v>
      </c>
      <c r="K19" s="71" t="s">
        <v>48</v>
      </c>
      <c r="L19" s="73">
        <v>43583</v>
      </c>
      <c r="M19" s="71" t="s">
        <v>35</v>
      </c>
    </row>
    <row r="20" spans="4:13" ht="28.8" x14ac:dyDescent="0.55000000000000004">
      <c r="D20" s="77">
        <v>16</v>
      </c>
      <c r="E20" s="71">
        <v>3442</v>
      </c>
      <c r="F20" s="71" t="s">
        <v>19</v>
      </c>
      <c r="G20" s="71" t="s">
        <v>59</v>
      </c>
      <c r="H20" s="71">
        <v>47</v>
      </c>
      <c r="I20" s="71" t="s">
        <v>37</v>
      </c>
      <c r="J20" s="71" t="s">
        <v>33</v>
      </c>
      <c r="K20" s="71" t="s">
        <v>34</v>
      </c>
      <c r="L20" s="73">
        <v>43655</v>
      </c>
      <c r="M20" s="71" t="s">
        <v>35</v>
      </c>
    </row>
    <row r="21" spans="4:13" ht="28.8" x14ac:dyDescent="0.55000000000000004">
      <c r="D21" s="77">
        <v>17</v>
      </c>
      <c r="E21" s="71">
        <v>3443</v>
      </c>
      <c r="F21" s="71" t="s">
        <v>20</v>
      </c>
      <c r="G21" s="71" t="s">
        <v>60</v>
      </c>
      <c r="H21" s="71">
        <v>29</v>
      </c>
      <c r="I21" s="71" t="s">
        <v>37</v>
      </c>
      <c r="J21" s="71" t="s">
        <v>38</v>
      </c>
      <c r="K21" s="71" t="s">
        <v>39</v>
      </c>
      <c r="L21" s="73">
        <v>44291</v>
      </c>
      <c r="M21" s="71" t="s">
        <v>35</v>
      </c>
    </row>
    <row r="22" spans="4:13" ht="28.8" x14ac:dyDescent="0.55000000000000004">
      <c r="D22" s="77">
        <v>18</v>
      </c>
      <c r="E22" s="71">
        <v>3444</v>
      </c>
      <c r="F22" s="71" t="s">
        <v>21</v>
      </c>
      <c r="G22" s="71" t="s">
        <v>61</v>
      </c>
      <c r="H22" s="71">
        <v>34</v>
      </c>
      <c r="I22" s="71" t="s">
        <v>37</v>
      </c>
      <c r="J22" s="71" t="s">
        <v>41</v>
      </c>
      <c r="K22" s="71" t="s">
        <v>42</v>
      </c>
      <c r="L22" s="73">
        <v>44528</v>
      </c>
      <c r="M22" s="71" t="s">
        <v>35</v>
      </c>
    </row>
    <row r="23" spans="4:13" ht="28.8" x14ac:dyDescent="0.55000000000000004">
      <c r="D23" s="77">
        <v>19</v>
      </c>
      <c r="E23" s="71">
        <v>3445</v>
      </c>
      <c r="F23" s="71" t="s">
        <v>22</v>
      </c>
      <c r="G23" s="71" t="s">
        <v>62</v>
      </c>
      <c r="H23" s="71">
        <v>39</v>
      </c>
      <c r="I23" s="71" t="s">
        <v>32</v>
      </c>
      <c r="J23" s="71" t="s">
        <v>44</v>
      </c>
      <c r="K23" s="71" t="s">
        <v>45</v>
      </c>
      <c r="L23" s="73">
        <v>44212</v>
      </c>
      <c r="M23" s="71" t="s">
        <v>35</v>
      </c>
    </row>
    <row r="24" spans="4:13" ht="28.8" x14ac:dyDescent="0.55000000000000004">
      <c r="D24" s="77">
        <v>20</v>
      </c>
      <c r="E24" s="71">
        <v>3446</v>
      </c>
      <c r="F24" s="71" t="s">
        <v>23</v>
      </c>
      <c r="G24" s="71" t="s">
        <v>63</v>
      </c>
      <c r="H24" s="71">
        <v>44</v>
      </c>
      <c r="I24" s="71" t="s">
        <v>32</v>
      </c>
      <c r="J24" s="71" t="s">
        <v>47</v>
      </c>
      <c r="K24" s="71" t="s">
        <v>48</v>
      </c>
      <c r="L24" s="73">
        <v>44432</v>
      </c>
      <c r="M24" s="71" t="s">
        <v>35</v>
      </c>
    </row>
  </sheetData>
  <mergeCells count="2">
    <mergeCell ref="D2:M2"/>
    <mergeCell ref="D3:M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24"/>
  <sheetViews>
    <sheetView showGridLines="0" zoomScale="30" zoomScaleNormal="30" workbookViewId="0">
      <selection activeCell="A2" sqref="A2"/>
    </sheetView>
  </sheetViews>
  <sheetFormatPr defaultRowHeight="18" x14ac:dyDescent="0.35"/>
  <cols>
    <col min="1" max="1" width="39.88671875" style="5" customWidth="1"/>
    <col min="2" max="6" width="4.44140625" customWidth="1"/>
    <col min="7" max="7" width="34.88671875" customWidth="1"/>
    <col min="8" max="8" width="35" customWidth="1"/>
    <col min="9" max="9" width="25.5546875" bestFit="1" customWidth="1"/>
    <col min="10" max="10" width="11.33203125" bestFit="1" customWidth="1"/>
    <col min="11" max="11" width="19.5546875" bestFit="1" customWidth="1"/>
    <col min="12" max="12" width="31.33203125" customWidth="1"/>
    <col min="13" max="13" width="37.5546875" customWidth="1"/>
    <col min="14" max="14" width="26.6640625" customWidth="1"/>
    <col min="15" max="15" width="40.6640625" bestFit="1" customWidth="1"/>
    <col min="17" max="17" width="39" bestFit="1" customWidth="1"/>
    <col min="18" max="18" width="33.33203125" bestFit="1" customWidth="1"/>
    <col min="19" max="19" width="32.109375" bestFit="1" customWidth="1"/>
    <col min="20" max="20" width="13.33203125" bestFit="1" customWidth="1"/>
    <col min="21" max="21" width="24.109375" bestFit="1" customWidth="1"/>
    <col min="22" max="22" width="38.6640625" bestFit="1" customWidth="1"/>
    <col min="23" max="23" width="27" bestFit="1" customWidth="1"/>
    <col min="24" max="24" width="32.109375" bestFit="1" customWidth="1"/>
    <col min="25" max="25" width="42.109375" customWidth="1"/>
    <col min="81" max="89" width="9.109375" customWidth="1"/>
  </cols>
  <sheetData>
    <row r="1" spans="1:25" ht="122.25" customHeight="1" x14ac:dyDescent="1.65">
      <c r="L1" s="267" t="s">
        <v>90</v>
      </c>
      <c r="M1" s="268"/>
      <c r="N1" s="268"/>
      <c r="O1" s="268"/>
      <c r="P1" s="268"/>
      <c r="Q1" s="268"/>
      <c r="R1" s="268"/>
    </row>
    <row r="2" spans="1:25" ht="56.25" customHeight="1" thickBot="1" x14ac:dyDescent="0.75">
      <c r="A2" s="195" t="str">
        <f>HYPERLINK("#'Table Of contents'!B1","GO TO TOC SHEET")</f>
        <v>GO TO TOC SHEET</v>
      </c>
    </row>
    <row r="3" spans="1:25" ht="55.5" customHeight="1" x14ac:dyDescent="0.85">
      <c r="G3" s="264" t="s">
        <v>84</v>
      </c>
      <c r="H3" s="265"/>
      <c r="I3" s="265"/>
      <c r="J3" s="265"/>
      <c r="K3" s="265"/>
      <c r="L3" s="265"/>
      <c r="M3" s="265"/>
      <c r="N3" s="265"/>
      <c r="O3" s="266"/>
      <c r="Q3" s="264" t="s">
        <v>85</v>
      </c>
      <c r="R3" s="265"/>
      <c r="S3" s="265"/>
      <c r="T3" s="265"/>
      <c r="U3" s="265"/>
      <c r="V3" s="265"/>
      <c r="W3" s="265"/>
      <c r="X3" s="265"/>
      <c r="Y3" s="266"/>
    </row>
    <row r="4" spans="1:25" ht="36.6" x14ac:dyDescent="0.7">
      <c r="G4" s="55" t="s">
        <v>2</v>
      </c>
      <c r="H4" s="49" t="s">
        <v>3</v>
      </c>
      <c r="I4" s="49" t="s">
        <v>24</v>
      </c>
      <c r="J4" s="49" t="s">
        <v>25</v>
      </c>
      <c r="K4" s="49" t="s">
        <v>26</v>
      </c>
      <c r="L4" s="49" t="s">
        <v>27</v>
      </c>
      <c r="M4" s="49" t="s">
        <v>28</v>
      </c>
      <c r="N4" s="49" t="s">
        <v>29</v>
      </c>
      <c r="O4" s="56" t="s">
        <v>30</v>
      </c>
      <c r="Q4" s="55" t="s">
        <v>2</v>
      </c>
      <c r="R4" s="49" t="s">
        <v>3</v>
      </c>
      <c r="S4" s="49" t="s">
        <v>24</v>
      </c>
      <c r="T4" s="49" t="s">
        <v>25</v>
      </c>
      <c r="U4" s="49" t="s">
        <v>26</v>
      </c>
      <c r="V4" s="49" t="s">
        <v>27</v>
      </c>
      <c r="W4" s="49" t="s">
        <v>28</v>
      </c>
      <c r="X4" s="49" t="s">
        <v>29</v>
      </c>
      <c r="Y4" s="56" t="s">
        <v>30</v>
      </c>
    </row>
    <row r="5" spans="1:25" ht="36.6" x14ac:dyDescent="0.7">
      <c r="G5" s="57">
        <v>3427</v>
      </c>
      <c r="H5" s="50" t="s">
        <v>4</v>
      </c>
      <c r="I5" s="50" t="s">
        <v>31</v>
      </c>
      <c r="J5" s="50">
        <v>25</v>
      </c>
      <c r="K5" s="50" t="s">
        <v>32</v>
      </c>
      <c r="L5" s="50" t="s">
        <v>33</v>
      </c>
      <c r="M5" s="50" t="s">
        <v>34</v>
      </c>
      <c r="N5" s="51">
        <v>43728</v>
      </c>
      <c r="O5" s="58" t="s">
        <v>35</v>
      </c>
      <c r="Q5" s="57">
        <v>3428</v>
      </c>
      <c r="R5" s="50" t="s">
        <v>5</v>
      </c>
      <c r="S5" s="50" t="s">
        <v>36</v>
      </c>
      <c r="T5" s="50">
        <v>30</v>
      </c>
      <c r="U5" s="50" t="s">
        <v>37</v>
      </c>
      <c r="V5" s="50" t="s">
        <v>38</v>
      </c>
      <c r="W5" s="50" t="s">
        <v>39</v>
      </c>
      <c r="X5" s="51">
        <v>44968</v>
      </c>
      <c r="Y5" s="58" t="s">
        <v>35</v>
      </c>
    </row>
    <row r="6" spans="1:25" ht="36.6" x14ac:dyDescent="0.7">
      <c r="G6" s="57">
        <v>3432</v>
      </c>
      <c r="H6" s="50" t="s">
        <v>9</v>
      </c>
      <c r="I6" s="50" t="s">
        <v>49</v>
      </c>
      <c r="J6" s="50">
        <v>50</v>
      </c>
      <c r="K6" s="50" t="s">
        <v>37</v>
      </c>
      <c r="L6" s="50" t="s">
        <v>33</v>
      </c>
      <c r="M6" s="50" t="s">
        <v>34</v>
      </c>
      <c r="N6" s="52">
        <v>43847</v>
      </c>
      <c r="O6" s="58" t="s">
        <v>35</v>
      </c>
      <c r="Q6" s="57">
        <v>3433</v>
      </c>
      <c r="R6" s="50" t="s">
        <v>10</v>
      </c>
      <c r="S6" s="50" t="s">
        <v>50</v>
      </c>
      <c r="T6" s="50">
        <v>28</v>
      </c>
      <c r="U6" s="50" t="s">
        <v>32</v>
      </c>
      <c r="V6" s="50" t="s">
        <v>38</v>
      </c>
      <c r="W6" s="50" t="s">
        <v>39</v>
      </c>
      <c r="X6" s="52">
        <v>44657</v>
      </c>
      <c r="Y6" s="58" t="s">
        <v>35</v>
      </c>
    </row>
    <row r="7" spans="1:25" ht="36.6" x14ac:dyDescent="0.7">
      <c r="G7" s="57">
        <v>3437</v>
      </c>
      <c r="H7" s="50" t="s">
        <v>14</v>
      </c>
      <c r="I7" s="50" t="s">
        <v>54</v>
      </c>
      <c r="J7" s="50">
        <v>48</v>
      </c>
      <c r="K7" s="50" t="s">
        <v>32</v>
      </c>
      <c r="L7" s="50" t="s">
        <v>33</v>
      </c>
      <c r="M7" s="50" t="s">
        <v>34</v>
      </c>
      <c r="N7" s="52">
        <v>45142</v>
      </c>
      <c r="O7" s="58" t="s">
        <v>35</v>
      </c>
      <c r="Q7" s="57">
        <v>3438</v>
      </c>
      <c r="R7" s="50" t="s">
        <v>15</v>
      </c>
      <c r="S7" s="50" t="s">
        <v>55</v>
      </c>
      <c r="T7" s="50">
        <v>27</v>
      </c>
      <c r="U7" s="50" t="s">
        <v>32</v>
      </c>
      <c r="V7" s="50" t="s">
        <v>38</v>
      </c>
      <c r="W7" s="50" t="s">
        <v>39</v>
      </c>
      <c r="X7" s="52">
        <v>43322</v>
      </c>
      <c r="Y7" s="58" t="s">
        <v>35</v>
      </c>
    </row>
    <row r="8" spans="1:25" ht="37.200000000000003" thickBot="1" x14ac:dyDescent="0.75">
      <c r="G8" s="59">
        <v>3442</v>
      </c>
      <c r="H8" s="60" t="s">
        <v>19</v>
      </c>
      <c r="I8" s="60" t="s">
        <v>59</v>
      </c>
      <c r="J8" s="60">
        <v>47</v>
      </c>
      <c r="K8" s="60" t="s">
        <v>37</v>
      </c>
      <c r="L8" s="60" t="s">
        <v>33</v>
      </c>
      <c r="M8" s="60" t="s">
        <v>34</v>
      </c>
      <c r="N8" s="61">
        <v>43655</v>
      </c>
      <c r="O8" s="62" t="s">
        <v>35</v>
      </c>
      <c r="Q8" s="59">
        <v>3443</v>
      </c>
      <c r="R8" s="60" t="s">
        <v>20</v>
      </c>
      <c r="S8" s="60" t="s">
        <v>60</v>
      </c>
      <c r="T8" s="60">
        <v>29</v>
      </c>
      <c r="U8" s="60" t="s">
        <v>37</v>
      </c>
      <c r="V8" s="60" t="s">
        <v>38</v>
      </c>
      <c r="W8" s="60" t="s">
        <v>39</v>
      </c>
      <c r="X8" s="61">
        <v>44291</v>
      </c>
      <c r="Y8" s="62" t="s">
        <v>35</v>
      </c>
    </row>
    <row r="10" spans="1:25" ht="18.600000000000001" thickBot="1" x14ac:dyDescent="0.4"/>
    <row r="11" spans="1:25" ht="46.2" x14ac:dyDescent="0.85">
      <c r="G11" s="264" t="s">
        <v>86</v>
      </c>
      <c r="H11" s="265"/>
      <c r="I11" s="265"/>
      <c r="J11" s="265"/>
      <c r="K11" s="265"/>
      <c r="L11" s="265"/>
      <c r="M11" s="265"/>
      <c r="N11" s="265"/>
      <c r="O11" s="266"/>
      <c r="Q11" s="264" t="s">
        <v>87</v>
      </c>
      <c r="R11" s="265"/>
      <c r="S11" s="265"/>
      <c r="T11" s="265"/>
      <c r="U11" s="265"/>
      <c r="V11" s="265"/>
      <c r="W11" s="265"/>
      <c r="X11" s="265"/>
      <c r="Y11" s="266"/>
    </row>
    <row r="12" spans="1:25" ht="36.6" x14ac:dyDescent="0.7">
      <c r="G12" s="63" t="s">
        <v>2</v>
      </c>
      <c r="H12" s="48" t="s">
        <v>3</v>
      </c>
      <c r="I12" s="48" t="s">
        <v>24</v>
      </c>
      <c r="J12" s="48" t="s">
        <v>25</v>
      </c>
      <c r="K12" s="48" t="s">
        <v>26</v>
      </c>
      <c r="L12" s="48" t="s">
        <v>27</v>
      </c>
      <c r="M12" s="48" t="s">
        <v>28</v>
      </c>
      <c r="N12" s="48" t="s">
        <v>29</v>
      </c>
      <c r="O12" s="64" t="s">
        <v>30</v>
      </c>
      <c r="Q12" s="55" t="s">
        <v>2</v>
      </c>
      <c r="R12" s="49" t="s">
        <v>3</v>
      </c>
      <c r="S12" s="49" t="s">
        <v>24</v>
      </c>
      <c r="T12" s="49" t="s">
        <v>25</v>
      </c>
      <c r="U12" s="49" t="s">
        <v>26</v>
      </c>
      <c r="V12" s="49" t="s">
        <v>27</v>
      </c>
      <c r="W12" s="49" t="s">
        <v>28</v>
      </c>
      <c r="X12" s="49" t="s">
        <v>29</v>
      </c>
      <c r="Y12" s="56" t="s">
        <v>30</v>
      </c>
    </row>
    <row r="13" spans="1:25" ht="36.6" x14ac:dyDescent="0.7">
      <c r="G13" s="65">
        <v>3429</v>
      </c>
      <c r="H13" s="53" t="s">
        <v>6</v>
      </c>
      <c r="I13" s="53" t="s">
        <v>40</v>
      </c>
      <c r="J13" s="53">
        <v>35</v>
      </c>
      <c r="K13" s="53" t="s">
        <v>37</v>
      </c>
      <c r="L13" s="53" t="s">
        <v>41</v>
      </c>
      <c r="M13" s="53" t="s">
        <v>42</v>
      </c>
      <c r="N13" s="54">
        <v>43444</v>
      </c>
      <c r="O13" s="66" t="s">
        <v>35</v>
      </c>
      <c r="Q13" s="57">
        <v>3430</v>
      </c>
      <c r="R13" s="50" t="s">
        <v>7</v>
      </c>
      <c r="S13" s="50" t="s">
        <v>43</v>
      </c>
      <c r="T13" s="50">
        <v>40</v>
      </c>
      <c r="U13" s="50" t="s">
        <v>37</v>
      </c>
      <c r="V13" s="50" t="s">
        <v>44</v>
      </c>
      <c r="W13" s="50" t="s">
        <v>45</v>
      </c>
      <c r="X13" s="52">
        <v>44368</v>
      </c>
      <c r="Y13" s="58" t="s">
        <v>35</v>
      </c>
    </row>
    <row r="14" spans="1:25" ht="36.6" x14ac:dyDescent="0.7">
      <c r="G14" s="65">
        <v>3434</v>
      </c>
      <c r="H14" s="53" t="s">
        <v>11</v>
      </c>
      <c r="I14" s="53" t="s">
        <v>51</v>
      </c>
      <c r="J14" s="53">
        <v>33</v>
      </c>
      <c r="K14" s="53" t="s">
        <v>32</v>
      </c>
      <c r="L14" s="53" t="s">
        <v>41</v>
      </c>
      <c r="M14" s="53" t="s">
        <v>42</v>
      </c>
      <c r="N14" s="54">
        <v>44141</v>
      </c>
      <c r="O14" s="66" t="s">
        <v>35</v>
      </c>
      <c r="Q14" s="57">
        <v>3435</v>
      </c>
      <c r="R14" s="50" t="s">
        <v>12</v>
      </c>
      <c r="S14" s="50" t="s">
        <v>52</v>
      </c>
      <c r="T14" s="50">
        <v>38</v>
      </c>
      <c r="U14" s="50" t="s">
        <v>37</v>
      </c>
      <c r="V14" s="50" t="s">
        <v>44</v>
      </c>
      <c r="W14" s="50" t="s">
        <v>45</v>
      </c>
      <c r="X14" s="52">
        <v>43330</v>
      </c>
      <c r="Y14" s="58" t="s">
        <v>35</v>
      </c>
    </row>
    <row r="15" spans="1:25" ht="36.6" x14ac:dyDescent="0.7">
      <c r="G15" s="65">
        <v>3439</v>
      </c>
      <c r="H15" s="53" t="s">
        <v>16</v>
      </c>
      <c r="I15" s="53" t="s">
        <v>56</v>
      </c>
      <c r="J15" s="53">
        <v>32</v>
      </c>
      <c r="K15" s="53" t="s">
        <v>37</v>
      </c>
      <c r="L15" s="53" t="s">
        <v>41</v>
      </c>
      <c r="M15" s="53" t="s">
        <v>42</v>
      </c>
      <c r="N15" s="54">
        <v>44706</v>
      </c>
      <c r="O15" s="66" t="s">
        <v>35</v>
      </c>
      <c r="Q15" s="57">
        <v>3440</v>
      </c>
      <c r="R15" s="50" t="s">
        <v>17</v>
      </c>
      <c r="S15" s="50" t="s">
        <v>57</v>
      </c>
      <c r="T15" s="50">
        <v>37</v>
      </c>
      <c r="U15" s="50" t="s">
        <v>32</v>
      </c>
      <c r="V15" s="50" t="s">
        <v>44</v>
      </c>
      <c r="W15" s="50" t="s">
        <v>45</v>
      </c>
      <c r="X15" s="52">
        <v>43804</v>
      </c>
      <c r="Y15" s="58" t="s">
        <v>35</v>
      </c>
    </row>
    <row r="16" spans="1:25" ht="37.200000000000003" thickBot="1" x14ac:dyDescent="0.75">
      <c r="G16" s="67">
        <v>3444</v>
      </c>
      <c r="H16" s="68" t="s">
        <v>21</v>
      </c>
      <c r="I16" s="68" t="s">
        <v>61</v>
      </c>
      <c r="J16" s="68">
        <v>34</v>
      </c>
      <c r="K16" s="68" t="s">
        <v>37</v>
      </c>
      <c r="L16" s="68" t="s">
        <v>41</v>
      </c>
      <c r="M16" s="68" t="s">
        <v>42</v>
      </c>
      <c r="N16" s="69">
        <v>44528</v>
      </c>
      <c r="O16" s="70" t="s">
        <v>35</v>
      </c>
      <c r="Q16" s="59">
        <v>3445</v>
      </c>
      <c r="R16" s="60" t="s">
        <v>22</v>
      </c>
      <c r="S16" s="60" t="s">
        <v>62</v>
      </c>
      <c r="T16" s="60">
        <v>39</v>
      </c>
      <c r="U16" s="60" t="s">
        <v>32</v>
      </c>
      <c r="V16" s="60" t="s">
        <v>44</v>
      </c>
      <c r="W16" s="60" t="s">
        <v>45</v>
      </c>
      <c r="X16" s="61">
        <v>44212</v>
      </c>
      <c r="Y16" s="62" t="s">
        <v>35</v>
      </c>
    </row>
    <row r="18" spans="7:15" ht="18.600000000000001" thickBot="1" x14ac:dyDescent="0.4"/>
    <row r="19" spans="7:15" ht="46.2" x14ac:dyDescent="0.85">
      <c r="G19" s="264" t="s">
        <v>88</v>
      </c>
      <c r="H19" s="265"/>
      <c r="I19" s="265"/>
      <c r="J19" s="265"/>
      <c r="K19" s="265"/>
      <c r="L19" s="265"/>
      <c r="M19" s="265"/>
      <c r="N19" s="265"/>
      <c r="O19" s="266"/>
    </row>
    <row r="20" spans="7:15" ht="33.6" x14ac:dyDescent="0.65">
      <c r="G20" s="63" t="s">
        <v>2</v>
      </c>
      <c r="H20" s="48" t="s">
        <v>3</v>
      </c>
      <c r="I20" s="48" t="s">
        <v>24</v>
      </c>
      <c r="J20" s="48" t="s">
        <v>25</v>
      </c>
      <c r="K20" s="48" t="s">
        <v>26</v>
      </c>
      <c r="L20" s="48" t="s">
        <v>27</v>
      </c>
      <c r="M20" s="48" t="s">
        <v>28</v>
      </c>
      <c r="N20" s="48" t="s">
        <v>29</v>
      </c>
      <c r="O20" s="64" t="s">
        <v>30</v>
      </c>
    </row>
    <row r="21" spans="7:15" ht="33.6" x14ac:dyDescent="0.65">
      <c r="G21" s="65">
        <v>3431</v>
      </c>
      <c r="H21" s="53" t="s">
        <v>8</v>
      </c>
      <c r="I21" s="53" t="s">
        <v>46</v>
      </c>
      <c r="J21" s="53">
        <v>45</v>
      </c>
      <c r="K21" s="53" t="s">
        <v>32</v>
      </c>
      <c r="L21" s="53" t="s">
        <v>47</v>
      </c>
      <c r="M21" s="53" t="s">
        <v>48</v>
      </c>
      <c r="N21" s="54">
        <v>43645</v>
      </c>
      <c r="O21" s="66" t="s">
        <v>35</v>
      </c>
    </row>
    <row r="22" spans="7:15" ht="33.6" x14ac:dyDescent="0.65">
      <c r="G22" s="65">
        <v>3436</v>
      </c>
      <c r="H22" s="53" t="s">
        <v>13</v>
      </c>
      <c r="I22" s="53" t="s">
        <v>53</v>
      </c>
      <c r="J22" s="53">
        <v>43</v>
      </c>
      <c r="K22" s="53" t="s">
        <v>37</v>
      </c>
      <c r="L22" s="53" t="s">
        <v>47</v>
      </c>
      <c r="M22" s="53" t="s">
        <v>48</v>
      </c>
      <c r="N22" s="54">
        <v>44582</v>
      </c>
      <c r="O22" s="66" t="s">
        <v>35</v>
      </c>
    </row>
    <row r="23" spans="7:15" ht="33.6" x14ac:dyDescent="0.65">
      <c r="G23" s="65">
        <v>3441</v>
      </c>
      <c r="H23" s="53" t="s">
        <v>18</v>
      </c>
      <c r="I23" s="53" t="s">
        <v>58</v>
      </c>
      <c r="J23" s="53">
        <v>42</v>
      </c>
      <c r="K23" s="53" t="s">
        <v>37</v>
      </c>
      <c r="L23" s="53" t="s">
        <v>47</v>
      </c>
      <c r="M23" s="53" t="s">
        <v>48</v>
      </c>
      <c r="N23" s="54">
        <v>43583</v>
      </c>
      <c r="O23" s="66" t="s">
        <v>35</v>
      </c>
    </row>
    <row r="24" spans="7:15" ht="34.200000000000003" thickBot="1" x14ac:dyDescent="0.7">
      <c r="G24" s="67">
        <v>3446</v>
      </c>
      <c r="H24" s="68" t="s">
        <v>23</v>
      </c>
      <c r="I24" s="68" t="s">
        <v>63</v>
      </c>
      <c r="J24" s="68">
        <v>44</v>
      </c>
      <c r="K24" s="68" t="s">
        <v>32</v>
      </c>
      <c r="L24" s="68" t="s">
        <v>47</v>
      </c>
      <c r="M24" s="68" t="s">
        <v>48</v>
      </c>
      <c r="N24" s="69">
        <v>44432</v>
      </c>
      <c r="O24" s="70" t="s">
        <v>35</v>
      </c>
    </row>
  </sheetData>
  <mergeCells count="6">
    <mergeCell ref="G19:O19"/>
    <mergeCell ref="L1:R1"/>
    <mergeCell ref="G3:O3"/>
    <mergeCell ref="Q3:Y3"/>
    <mergeCell ref="G11:O11"/>
    <mergeCell ref="Q11:Y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12"/>
  <sheetViews>
    <sheetView showGridLines="0" zoomScale="70" zoomScaleNormal="70" workbookViewId="0">
      <selection activeCell="D12" sqref="D12"/>
    </sheetView>
  </sheetViews>
  <sheetFormatPr defaultRowHeight="14.4" x14ac:dyDescent="0.3"/>
  <cols>
    <col min="1" max="1" width="18.33203125" customWidth="1"/>
    <col min="2" max="2" width="3.33203125" customWidth="1"/>
    <col min="3" max="3" width="3" customWidth="1"/>
    <col min="4" max="5" width="2.88671875" customWidth="1"/>
    <col min="6" max="6" width="7.33203125" customWidth="1"/>
    <col min="7" max="7" width="9.109375" hidden="1" customWidth="1"/>
  </cols>
  <sheetData>
    <row r="1" spans="1:31" ht="45" customHeight="1" x14ac:dyDescent="0.3"/>
    <row r="2" spans="1:31" ht="23.4" x14ac:dyDescent="0.45">
      <c r="A2" s="200" t="str">
        <f>HYPERLINK("#'Table Of contents'!B1","GO TO TOC SHEET")</f>
        <v>GO TO TOC SHEET</v>
      </c>
    </row>
    <row r="8" spans="1:31" ht="3" customHeight="1" x14ac:dyDescent="0.3"/>
    <row r="9" spans="1:31" hidden="1" x14ac:dyDescent="0.3"/>
    <row r="10" spans="1:31" ht="93.75" customHeight="1" x14ac:dyDescent="1.65">
      <c r="H10" s="45" t="s">
        <v>83</v>
      </c>
      <c r="I10" s="45"/>
      <c r="J10" s="45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7"/>
      <c r="X10" s="47"/>
      <c r="Y10" s="47"/>
      <c r="Z10" s="47"/>
      <c r="AA10" s="47"/>
      <c r="AB10" s="47"/>
      <c r="AC10" s="47"/>
      <c r="AD10" s="47"/>
      <c r="AE10" s="47"/>
    </row>
    <row r="12" spans="1:31" ht="40.5" customHeight="1" x14ac:dyDescent="0.85">
      <c r="O12" s="269" t="s">
        <v>92</v>
      </c>
      <c r="P12" s="269"/>
      <c r="Q12" s="269"/>
      <c r="R12" s="269"/>
      <c r="S12" s="269"/>
    </row>
  </sheetData>
  <mergeCells count="1">
    <mergeCell ref="O12:S1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L28"/>
  <sheetViews>
    <sheetView showGridLines="0" zoomScale="40" zoomScaleNormal="40" workbookViewId="0">
      <selection activeCell="AJ8" sqref="AJ8"/>
    </sheetView>
  </sheetViews>
  <sheetFormatPr defaultRowHeight="14.4" x14ac:dyDescent="0.3"/>
  <cols>
    <col min="1" max="1" width="44.109375" customWidth="1"/>
    <col min="2" max="3" width="24.44140625" customWidth="1"/>
    <col min="4" max="34" width="8" customWidth="1"/>
    <col min="35" max="35" width="2.88671875" customWidth="1"/>
    <col min="36" max="36" width="32.5546875" customWidth="1"/>
    <col min="37" max="37" width="9.88671875" customWidth="1"/>
    <col min="38" max="38" width="14.6640625" customWidth="1"/>
  </cols>
  <sheetData>
    <row r="1" spans="1:38" ht="85.5" customHeight="1" thickBot="1" x14ac:dyDescent="0.35"/>
    <row r="2" spans="1:38" ht="56.25" customHeight="1" x14ac:dyDescent="1.3">
      <c r="A2" s="194" t="str">
        <f>HYPERLINK("#'Table Of contents'!B1","GO TO TOC SHEET")</f>
        <v>GO TO TOC SHEET</v>
      </c>
      <c r="B2" s="276" t="s">
        <v>93</v>
      </c>
      <c r="C2" s="277"/>
      <c r="D2" s="271" t="s">
        <v>72</v>
      </c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3"/>
    </row>
    <row r="3" spans="1:38" ht="27.75" customHeight="1" x14ac:dyDescent="0.4">
      <c r="B3" s="11" t="s">
        <v>64</v>
      </c>
      <c r="C3" s="12" t="s">
        <v>66</v>
      </c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5"/>
    </row>
    <row r="4" spans="1:38" ht="29.25" customHeight="1" x14ac:dyDescent="0.4">
      <c r="B4" s="11" t="s">
        <v>65</v>
      </c>
      <c r="C4" s="12">
        <v>2024</v>
      </c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5"/>
    </row>
    <row r="5" spans="1:38" ht="35.25" customHeight="1" x14ac:dyDescent="0.4">
      <c r="B5" s="19">
        <f>DATEVALUE("1"&amp;C3&amp;C4)</f>
        <v>45292</v>
      </c>
      <c r="C5" s="20">
        <f>EOMONTH(B5,0)</f>
        <v>45322</v>
      </c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5"/>
    </row>
    <row r="6" spans="1:38" ht="58.5" customHeight="1" x14ac:dyDescent="0.5">
      <c r="B6" s="278" t="s">
        <v>2</v>
      </c>
      <c r="C6" s="279" t="s">
        <v>3</v>
      </c>
      <c r="D6" s="27" t="str">
        <f>TEXT(D7,"DDD")</f>
        <v>Mon</v>
      </c>
      <c r="E6" s="27" t="str">
        <f t="shared" ref="E6:AH6" si="0">TEXT(E7,"DDD")</f>
        <v>Tue</v>
      </c>
      <c r="F6" s="27" t="str">
        <f t="shared" si="0"/>
        <v>Wed</v>
      </c>
      <c r="G6" s="27" t="str">
        <f t="shared" si="0"/>
        <v>Thu</v>
      </c>
      <c r="H6" s="27" t="str">
        <f t="shared" si="0"/>
        <v>Fri</v>
      </c>
      <c r="I6" s="27" t="str">
        <f t="shared" si="0"/>
        <v>Sat</v>
      </c>
      <c r="J6" s="27" t="str">
        <f t="shared" si="0"/>
        <v>Sun</v>
      </c>
      <c r="K6" s="27" t="str">
        <f t="shared" si="0"/>
        <v>Mon</v>
      </c>
      <c r="L6" s="27" t="str">
        <f t="shared" si="0"/>
        <v>Tue</v>
      </c>
      <c r="M6" s="27" t="str">
        <f t="shared" si="0"/>
        <v>Wed</v>
      </c>
      <c r="N6" s="27" t="str">
        <f t="shared" si="0"/>
        <v>Thu</v>
      </c>
      <c r="O6" s="27" t="str">
        <f t="shared" si="0"/>
        <v>Fri</v>
      </c>
      <c r="P6" s="27" t="str">
        <f t="shared" si="0"/>
        <v>Sat</v>
      </c>
      <c r="Q6" s="27" t="str">
        <f t="shared" si="0"/>
        <v>Sun</v>
      </c>
      <c r="R6" s="27" t="str">
        <f t="shared" si="0"/>
        <v>Mon</v>
      </c>
      <c r="S6" s="27" t="str">
        <f t="shared" si="0"/>
        <v>Tue</v>
      </c>
      <c r="T6" s="27" t="str">
        <f t="shared" si="0"/>
        <v>Wed</v>
      </c>
      <c r="U6" s="27" t="str">
        <f t="shared" si="0"/>
        <v>Thu</v>
      </c>
      <c r="V6" s="27" t="str">
        <f t="shared" si="0"/>
        <v>Fri</v>
      </c>
      <c r="W6" s="27" t="str">
        <f t="shared" si="0"/>
        <v>Sat</v>
      </c>
      <c r="X6" s="27" t="str">
        <f t="shared" si="0"/>
        <v>Sun</v>
      </c>
      <c r="Y6" s="27" t="str">
        <f t="shared" si="0"/>
        <v>Mon</v>
      </c>
      <c r="Z6" s="27" t="str">
        <f t="shared" si="0"/>
        <v>Tue</v>
      </c>
      <c r="AA6" s="27" t="str">
        <f t="shared" si="0"/>
        <v>Wed</v>
      </c>
      <c r="AB6" s="27" t="str">
        <f t="shared" si="0"/>
        <v>Thu</v>
      </c>
      <c r="AC6" s="27" t="str">
        <f t="shared" si="0"/>
        <v>Fri</v>
      </c>
      <c r="AD6" s="27" t="str">
        <f t="shared" si="0"/>
        <v>Sat</v>
      </c>
      <c r="AE6" s="27" t="str">
        <f t="shared" si="0"/>
        <v>Sun</v>
      </c>
      <c r="AF6" s="27" t="str">
        <f t="shared" si="0"/>
        <v>Mon</v>
      </c>
      <c r="AG6" s="27" t="str">
        <f t="shared" si="0"/>
        <v>Tue</v>
      </c>
      <c r="AH6" s="27" t="str">
        <f t="shared" si="0"/>
        <v>Wed</v>
      </c>
      <c r="AI6" s="28"/>
      <c r="AJ6" s="280" t="s">
        <v>69</v>
      </c>
      <c r="AK6" s="280" t="s">
        <v>70</v>
      </c>
      <c r="AL6" s="270" t="s">
        <v>71</v>
      </c>
    </row>
    <row r="7" spans="1:38" ht="25.8" x14ac:dyDescent="0.5">
      <c r="B7" s="278"/>
      <c r="C7" s="279"/>
      <c r="D7" s="29">
        <f>B5</f>
        <v>45292</v>
      </c>
      <c r="E7" s="29">
        <f>IFERROR(IF(D7+1&gt;$C$5,"",D7+1),"")</f>
        <v>45293</v>
      </c>
      <c r="F7" s="29">
        <f t="shared" ref="F7:AG7" si="1">IFERROR(IF(E7+1&gt;$C$5,"",E7+1),"")</f>
        <v>45294</v>
      </c>
      <c r="G7" s="29">
        <f t="shared" si="1"/>
        <v>45295</v>
      </c>
      <c r="H7" s="29">
        <f t="shared" si="1"/>
        <v>45296</v>
      </c>
      <c r="I7" s="29">
        <f t="shared" si="1"/>
        <v>45297</v>
      </c>
      <c r="J7" s="29">
        <f t="shared" si="1"/>
        <v>45298</v>
      </c>
      <c r="K7" s="29">
        <f t="shared" si="1"/>
        <v>45299</v>
      </c>
      <c r="L7" s="29">
        <f t="shared" si="1"/>
        <v>45300</v>
      </c>
      <c r="M7" s="29">
        <f t="shared" si="1"/>
        <v>45301</v>
      </c>
      <c r="N7" s="29">
        <f t="shared" si="1"/>
        <v>45302</v>
      </c>
      <c r="O7" s="29">
        <f t="shared" si="1"/>
        <v>45303</v>
      </c>
      <c r="P7" s="29">
        <f t="shared" si="1"/>
        <v>45304</v>
      </c>
      <c r="Q7" s="29">
        <f t="shared" si="1"/>
        <v>45305</v>
      </c>
      <c r="R7" s="29">
        <f t="shared" si="1"/>
        <v>45306</v>
      </c>
      <c r="S7" s="29">
        <f>IFERROR(IF(R7+1&gt;$C$5,"",R7+1),"")</f>
        <v>45307</v>
      </c>
      <c r="T7" s="29">
        <f t="shared" si="1"/>
        <v>45308</v>
      </c>
      <c r="U7" s="29">
        <f t="shared" si="1"/>
        <v>45309</v>
      </c>
      <c r="V7" s="29">
        <f t="shared" si="1"/>
        <v>45310</v>
      </c>
      <c r="W7" s="29">
        <f t="shared" si="1"/>
        <v>45311</v>
      </c>
      <c r="X7" s="29">
        <f t="shared" si="1"/>
        <v>45312</v>
      </c>
      <c r="Y7" s="29">
        <f t="shared" si="1"/>
        <v>45313</v>
      </c>
      <c r="Z7" s="29">
        <f>IFERROR(IF(Y7+1&gt;$C$5,"",Y7+1),"")</f>
        <v>45314</v>
      </c>
      <c r="AA7" s="29">
        <f t="shared" si="1"/>
        <v>45315</v>
      </c>
      <c r="AB7" s="29">
        <f t="shared" si="1"/>
        <v>45316</v>
      </c>
      <c r="AC7" s="29">
        <f t="shared" si="1"/>
        <v>45317</v>
      </c>
      <c r="AD7" s="29">
        <f t="shared" si="1"/>
        <v>45318</v>
      </c>
      <c r="AE7" s="29">
        <f t="shared" si="1"/>
        <v>45319</v>
      </c>
      <c r="AF7" s="29">
        <f t="shared" si="1"/>
        <v>45320</v>
      </c>
      <c r="AG7" s="29">
        <f t="shared" si="1"/>
        <v>45321</v>
      </c>
      <c r="AH7" s="29">
        <f>IFERROR(IF(AG7+1&gt;$C$5,"",AG7+1),"")</f>
        <v>45322</v>
      </c>
      <c r="AI7" s="28"/>
      <c r="AJ7" s="280"/>
      <c r="AK7" s="280"/>
      <c r="AL7" s="270"/>
    </row>
    <row r="8" spans="1:38" ht="25.8" x14ac:dyDescent="0.5">
      <c r="B8" s="30">
        <v>3427</v>
      </c>
      <c r="C8" s="31" t="s">
        <v>4</v>
      </c>
      <c r="D8" s="32" t="s">
        <v>70</v>
      </c>
      <c r="E8" s="32" t="s">
        <v>70</v>
      </c>
      <c r="F8" s="32" t="s">
        <v>70</v>
      </c>
      <c r="G8" s="32" t="s">
        <v>70</v>
      </c>
      <c r="H8" s="32" t="s">
        <v>71</v>
      </c>
      <c r="I8" s="32" t="s">
        <v>70</v>
      </c>
      <c r="J8" s="32"/>
      <c r="K8" s="32" t="s">
        <v>70</v>
      </c>
      <c r="L8" s="32" t="s">
        <v>70</v>
      </c>
      <c r="M8" s="32" t="s">
        <v>70</v>
      </c>
      <c r="N8" s="32" t="s">
        <v>70</v>
      </c>
      <c r="O8" s="32" t="s">
        <v>70</v>
      </c>
      <c r="P8" s="32" t="s">
        <v>70</v>
      </c>
      <c r="Q8" s="32"/>
      <c r="R8" s="32" t="s">
        <v>70</v>
      </c>
      <c r="S8" s="32" t="s">
        <v>70</v>
      </c>
      <c r="T8" s="32" t="s">
        <v>70</v>
      </c>
      <c r="U8" s="32" t="s">
        <v>70</v>
      </c>
      <c r="V8" s="32" t="s">
        <v>70</v>
      </c>
      <c r="W8" s="32" t="s">
        <v>70</v>
      </c>
      <c r="X8" s="32"/>
      <c r="Y8" s="32" t="s">
        <v>70</v>
      </c>
      <c r="Z8" s="32" t="s">
        <v>70</v>
      </c>
      <c r="AA8" s="32" t="s">
        <v>71</v>
      </c>
      <c r="AB8" s="32" t="s">
        <v>70</v>
      </c>
      <c r="AC8" s="32" t="s">
        <v>70</v>
      </c>
      <c r="AD8" s="32" t="s">
        <v>70</v>
      </c>
      <c r="AE8" s="32"/>
      <c r="AF8" s="32" t="s">
        <v>70</v>
      </c>
      <c r="AG8" s="32" t="s">
        <v>70</v>
      </c>
      <c r="AH8" s="32" t="s">
        <v>70</v>
      </c>
      <c r="AI8" s="28"/>
      <c r="AJ8" s="32">
        <f>SUM(AK8,AL8)</f>
        <v>27</v>
      </c>
      <c r="AK8" s="32">
        <f>COUNTIF(D8:AH8,AK$6)</f>
        <v>25</v>
      </c>
      <c r="AL8" s="33">
        <f>COUNTIF(E8:AI8,AL$6)</f>
        <v>2</v>
      </c>
    </row>
    <row r="9" spans="1:38" ht="25.8" x14ac:dyDescent="0.5">
      <c r="B9" s="30">
        <v>3428</v>
      </c>
      <c r="C9" s="31" t="s">
        <v>5</v>
      </c>
      <c r="D9" s="32" t="s">
        <v>70</v>
      </c>
      <c r="E9" s="32" t="s">
        <v>70</v>
      </c>
      <c r="F9" s="32" t="s">
        <v>70</v>
      </c>
      <c r="G9" s="32" t="s">
        <v>70</v>
      </c>
      <c r="H9" s="32" t="s">
        <v>70</v>
      </c>
      <c r="I9" s="32" t="s">
        <v>70</v>
      </c>
      <c r="J9" s="32"/>
      <c r="K9" s="32" t="s">
        <v>70</v>
      </c>
      <c r="L9" s="32" t="s">
        <v>70</v>
      </c>
      <c r="M9" s="32" t="s">
        <v>70</v>
      </c>
      <c r="N9" s="32" t="s">
        <v>70</v>
      </c>
      <c r="O9" s="32" t="s">
        <v>70</v>
      </c>
      <c r="P9" s="32" t="s">
        <v>70</v>
      </c>
      <c r="Q9" s="32"/>
      <c r="R9" s="32" t="s">
        <v>70</v>
      </c>
      <c r="S9" s="32" t="s">
        <v>70</v>
      </c>
      <c r="T9" s="32" t="s">
        <v>70</v>
      </c>
      <c r="U9" s="32" t="s">
        <v>70</v>
      </c>
      <c r="V9" s="32" t="s">
        <v>71</v>
      </c>
      <c r="W9" s="32" t="s">
        <v>70</v>
      </c>
      <c r="X9" s="32"/>
      <c r="Y9" s="32" t="s">
        <v>70</v>
      </c>
      <c r="Z9" s="32" t="s">
        <v>70</v>
      </c>
      <c r="AA9" s="32" t="s">
        <v>70</v>
      </c>
      <c r="AB9" s="32" t="s">
        <v>70</v>
      </c>
      <c r="AC9" s="32" t="s">
        <v>70</v>
      </c>
      <c r="AD9" s="32" t="s">
        <v>70</v>
      </c>
      <c r="AE9" s="32"/>
      <c r="AF9" s="32" t="s">
        <v>70</v>
      </c>
      <c r="AG9" s="32" t="s">
        <v>71</v>
      </c>
      <c r="AH9" s="32" t="s">
        <v>70</v>
      </c>
      <c r="AI9" s="28"/>
      <c r="AJ9" s="32">
        <f t="shared" ref="AJ9:AJ27" si="2">SUM(AK9,AL9)</f>
        <v>27</v>
      </c>
      <c r="AK9" s="32">
        <f t="shared" ref="AK9:AL27" si="3">COUNTIF(D9:AH9,AK$6)</f>
        <v>25</v>
      </c>
      <c r="AL9" s="33">
        <f t="shared" si="3"/>
        <v>2</v>
      </c>
    </row>
    <row r="10" spans="1:38" ht="25.8" x14ac:dyDescent="0.5">
      <c r="B10" s="30">
        <v>3429</v>
      </c>
      <c r="C10" s="31" t="s">
        <v>6</v>
      </c>
      <c r="D10" s="32" t="s">
        <v>70</v>
      </c>
      <c r="E10" s="32" t="s">
        <v>70</v>
      </c>
      <c r="F10" s="32" t="s">
        <v>70</v>
      </c>
      <c r="G10" s="32" t="s">
        <v>70</v>
      </c>
      <c r="H10" s="32" t="s">
        <v>70</v>
      </c>
      <c r="I10" s="32" t="s">
        <v>70</v>
      </c>
      <c r="J10" s="32"/>
      <c r="K10" s="32" t="s">
        <v>70</v>
      </c>
      <c r="L10" s="32" t="s">
        <v>70</v>
      </c>
      <c r="M10" s="32" t="s">
        <v>70</v>
      </c>
      <c r="N10" s="32" t="s">
        <v>70</v>
      </c>
      <c r="O10" s="32" t="s">
        <v>70</v>
      </c>
      <c r="P10" s="32" t="s">
        <v>70</v>
      </c>
      <c r="Q10" s="32"/>
      <c r="R10" s="32" t="s">
        <v>70</v>
      </c>
      <c r="S10" s="32" t="s">
        <v>70</v>
      </c>
      <c r="T10" s="32" t="s">
        <v>70</v>
      </c>
      <c r="U10" s="32" t="s">
        <v>70</v>
      </c>
      <c r="V10" s="32" t="s">
        <v>70</v>
      </c>
      <c r="W10" s="32" t="s">
        <v>70</v>
      </c>
      <c r="X10" s="32"/>
      <c r="Y10" s="32" t="s">
        <v>70</v>
      </c>
      <c r="Z10" s="32" t="s">
        <v>70</v>
      </c>
      <c r="AA10" s="32" t="s">
        <v>70</v>
      </c>
      <c r="AB10" s="32" t="s">
        <v>70</v>
      </c>
      <c r="AC10" s="32" t="s">
        <v>70</v>
      </c>
      <c r="AD10" s="32" t="s">
        <v>70</v>
      </c>
      <c r="AE10" s="32"/>
      <c r="AF10" s="32" t="s">
        <v>70</v>
      </c>
      <c r="AG10" s="32" t="s">
        <v>70</v>
      </c>
      <c r="AH10" s="32" t="s">
        <v>70</v>
      </c>
      <c r="AI10" s="28"/>
      <c r="AJ10" s="32">
        <f t="shared" si="2"/>
        <v>27</v>
      </c>
      <c r="AK10" s="32">
        <f t="shared" si="3"/>
        <v>27</v>
      </c>
      <c r="AL10" s="33">
        <f t="shared" si="3"/>
        <v>0</v>
      </c>
    </row>
    <row r="11" spans="1:38" ht="25.8" x14ac:dyDescent="0.5">
      <c r="B11" s="30">
        <v>3430</v>
      </c>
      <c r="C11" s="31" t="s">
        <v>7</v>
      </c>
      <c r="D11" s="32" t="s">
        <v>70</v>
      </c>
      <c r="E11" s="32" t="s">
        <v>70</v>
      </c>
      <c r="F11" s="32" t="s">
        <v>70</v>
      </c>
      <c r="G11" s="32" t="s">
        <v>70</v>
      </c>
      <c r="H11" s="32" t="s">
        <v>70</v>
      </c>
      <c r="I11" s="32" t="s">
        <v>70</v>
      </c>
      <c r="J11" s="32"/>
      <c r="K11" s="32" t="s">
        <v>70</v>
      </c>
      <c r="L11" s="32" t="s">
        <v>70</v>
      </c>
      <c r="M11" s="32" t="s">
        <v>70</v>
      </c>
      <c r="N11" s="32" t="s">
        <v>70</v>
      </c>
      <c r="O11" s="32" t="s">
        <v>70</v>
      </c>
      <c r="P11" s="32" t="s">
        <v>70</v>
      </c>
      <c r="Q11" s="32"/>
      <c r="R11" s="32" t="s">
        <v>70</v>
      </c>
      <c r="S11" s="32" t="s">
        <v>70</v>
      </c>
      <c r="T11" s="32" t="s">
        <v>70</v>
      </c>
      <c r="U11" s="32" t="s">
        <v>70</v>
      </c>
      <c r="V11" s="32" t="s">
        <v>70</v>
      </c>
      <c r="W11" s="32" t="s">
        <v>70</v>
      </c>
      <c r="X11" s="32"/>
      <c r="Y11" s="32" t="s">
        <v>70</v>
      </c>
      <c r="Z11" s="32" t="s">
        <v>70</v>
      </c>
      <c r="AA11" s="32" t="s">
        <v>70</v>
      </c>
      <c r="AB11" s="32" t="s">
        <v>70</v>
      </c>
      <c r="AC11" s="32" t="s">
        <v>70</v>
      </c>
      <c r="AD11" s="32" t="s">
        <v>70</v>
      </c>
      <c r="AE11" s="32"/>
      <c r="AF11" s="32" t="s">
        <v>70</v>
      </c>
      <c r="AG11" s="32" t="s">
        <v>70</v>
      </c>
      <c r="AH11" s="32" t="s">
        <v>71</v>
      </c>
      <c r="AI11" s="28"/>
      <c r="AJ11" s="32">
        <f t="shared" si="2"/>
        <v>27</v>
      </c>
      <c r="AK11" s="32">
        <f t="shared" si="3"/>
        <v>26</v>
      </c>
      <c r="AL11" s="33">
        <f t="shared" si="3"/>
        <v>1</v>
      </c>
    </row>
    <row r="12" spans="1:38" ht="25.8" x14ac:dyDescent="0.5">
      <c r="B12" s="30">
        <v>3431</v>
      </c>
      <c r="C12" s="31" t="s">
        <v>8</v>
      </c>
      <c r="D12" s="32" t="s">
        <v>70</v>
      </c>
      <c r="E12" s="32" t="s">
        <v>70</v>
      </c>
      <c r="F12" s="32" t="s">
        <v>70</v>
      </c>
      <c r="G12" s="32" t="s">
        <v>71</v>
      </c>
      <c r="H12" s="32" t="s">
        <v>70</v>
      </c>
      <c r="I12" s="32" t="s">
        <v>70</v>
      </c>
      <c r="J12" s="32"/>
      <c r="K12" s="32" t="s">
        <v>70</v>
      </c>
      <c r="L12" s="32" t="s">
        <v>70</v>
      </c>
      <c r="M12" s="32" t="s">
        <v>71</v>
      </c>
      <c r="N12" s="32" t="s">
        <v>70</v>
      </c>
      <c r="O12" s="32" t="s">
        <v>70</v>
      </c>
      <c r="P12" s="32" t="s">
        <v>70</v>
      </c>
      <c r="Q12" s="32"/>
      <c r="R12" s="32" t="s">
        <v>70</v>
      </c>
      <c r="S12" s="32" t="s">
        <v>71</v>
      </c>
      <c r="T12" s="32" t="s">
        <v>70</v>
      </c>
      <c r="U12" s="32" t="s">
        <v>71</v>
      </c>
      <c r="V12" s="32" t="s">
        <v>70</v>
      </c>
      <c r="W12" s="32" t="s">
        <v>70</v>
      </c>
      <c r="X12" s="32"/>
      <c r="Y12" s="32" t="s">
        <v>70</v>
      </c>
      <c r="Z12" s="32" t="s">
        <v>70</v>
      </c>
      <c r="AA12" s="32" t="s">
        <v>70</v>
      </c>
      <c r="AB12" s="32" t="s">
        <v>70</v>
      </c>
      <c r="AC12" s="32" t="s">
        <v>70</v>
      </c>
      <c r="AD12" s="32" t="s">
        <v>70</v>
      </c>
      <c r="AE12" s="32"/>
      <c r="AF12" s="32" t="s">
        <v>71</v>
      </c>
      <c r="AG12" s="32" t="s">
        <v>70</v>
      </c>
      <c r="AH12" s="32" t="s">
        <v>70</v>
      </c>
      <c r="AI12" s="28"/>
      <c r="AJ12" s="32">
        <f t="shared" si="2"/>
        <v>27</v>
      </c>
      <c r="AK12" s="32">
        <f t="shared" si="3"/>
        <v>22</v>
      </c>
      <c r="AL12" s="33">
        <f t="shared" si="3"/>
        <v>5</v>
      </c>
    </row>
    <row r="13" spans="1:38" ht="25.8" x14ac:dyDescent="0.5">
      <c r="B13" s="30">
        <v>3432</v>
      </c>
      <c r="C13" s="31" t="s">
        <v>9</v>
      </c>
      <c r="D13" s="32" t="s">
        <v>70</v>
      </c>
      <c r="E13" s="32" t="s">
        <v>70</v>
      </c>
      <c r="F13" s="32" t="s">
        <v>70</v>
      </c>
      <c r="G13" s="32" t="s">
        <v>70</v>
      </c>
      <c r="H13" s="32" t="s">
        <v>70</v>
      </c>
      <c r="I13" s="32" t="s">
        <v>70</v>
      </c>
      <c r="J13" s="32"/>
      <c r="K13" s="32" t="s">
        <v>70</v>
      </c>
      <c r="L13" s="32" t="s">
        <v>70</v>
      </c>
      <c r="M13" s="32" t="s">
        <v>71</v>
      </c>
      <c r="N13" s="32" t="s">
        <v>70</v>
      </c>
      <c r="O13" s="32" t="s">
        <v>70</v>
      </c>
      <c r="P13" s="32" t="s">
        <v>70</v>
      </c>
      <c r="Q13" s="32"/>
      <c r="R13" s="32" t="s">
        <v>70</v>
      </c>
      <c r="S13" s="32" t="s">
        <v>70</v>
      </c>
      <c r="T13" s="32" t="s">
        <v>70</v>
      </c>
      <c r="U13" s="32" t="s">
        <v>70</v>
      </c>
      <c r="V13" s="32" t="s">
        <v>70</v>
      </c>
      <c r="W13" s="32" t="s">
        <v>70</v>
      </c>
      <c r="X13" s="32"/>
      <c r="Y13" s="32" t="s">
        <v>70</v>
      </c>
      <c r="Z13" s="32" t="s">
        <v>70</v>
      </c>
      <c r="AA13" s="32" t="s">
        <v>70</v>
      </c>
      <c r="AB13" s="32" t="s">
        <v>70</v>
      </c>
      <c r="AC13" s="32" t="s">
        <v>70</v>
      </c>
      <c r="AD13" s="32" t="s">
        <v>70</v>
      </c>
      <c r="AE13" s="32"/>
      <c r="AF13" s="32" t="s">
        <v>70</v>
      </c>
      <c r="AG13" s="32" t="s">
        <v>70</v>
      </c>
      <c r="AH13" s="32" t="s">
        <v>70</v>
      </c>
      <c r="AI13" s="28"/>
      <c r="AJ13" s="32">
        <f t="shared" si="2"/>
        <v>27</v>
      </c>
      <c r="AK13" s="32">
        <f t="shared" si="3"/>
        <v>26</v>
      </c>
      <c r="AL13" s="33">
        <f t="shared" si="3"/>
        <v>1</v>
      </c>
    </row>
    <row r="14" spans="1:38" ht="25.8" x14ac:dyDescent="0.5">
      <c r="B14" s="30">
        <v>3433</v>
      </c>
      <c r="C14" s="31" t="s">
        <v>10</v>
      </c>
      <c r="D14" s="32" t="s">
        <v>70</v>
      </c>
      <c r="E14" s="32" t="s">
        <v>70</v>
      </c>
      <c r="F14" s="32" t="s">
        <v>70</v>
      </c>
      <c r="G14" s="32" t="s">
        <v>70</v>
      </c>
      <c r="H14" s="32" t="s">
        <v>70</v>
      </c>
      <c r="I14" s="32" t="s">
        <v>70</v>
      </c>
      <c r="J14" s="32"/>
      <c r="K14" s="32" t="s">
        <v>71</v>
      </c>
      <c r="L14" s="32" t="s">
        <v>70</v>
      </c>
      <c r="M14" s="32" t="s">
        <v>70</v>
      </c>
      <c r="N14" s="32" t="s">
        <v>70</v>
      </c>
      <c r="O14" s="32" t="s">
        <v>70</v>
      </c>
      <c r="P14" s="32" t="s">
        <v>70</v>
      </c>
      <c r="Q14" s="32"/>
      <c r="R14" s="32" t="s">
        <v>70</v>
      </c>
      <c r="S14" s="32" t="s">
        <v>71</v>
      </c>
      <c r="T14" s="32" t="s">
        <v>70</v>
      </c>
      <c r="U14" s="32" t="s">
        <v>70</v>
      </c>
      <c r="V14" s="32" t="s">
        <v>70</v>
      </c>
      <c r="W14" s="32" t="s">
        <v>70</v>
      </c>
      <c r="X14" s="32"/>
      <c r="Y14" s="32" t="s">
        <v>70</v>
      </c>
      <c r="Z14" s="32" t="s">
        <v>70</v>
      </c>
      <c r="AA14" s="32" t="s">
        <v>70</v>
      </c>
      <c r="AB14" s="32" t="s">
        <v>70</v>
      </c>
      <c r="AC14" s="32" t="s">
        <v>70</v>
      </c>
      <c r="AD14" s="32" t="s">
        <v>70</v>
      </c>
      <c r="AE14" s="32"/>
      <c r="AF14" s="32" t="s">
        <v>70</v>
      </c>
      <c r="AG14" s="32" t="s">
        <v>70</v>
      </c>
      <c r="AH14" s="32" t="s">
        <v>70</v>
      </c>
      <c r="AI14" s="28"/>
      <c r="AJ14" s="32">
        <f t="shared" si="2"/>
        <v>27</v>
      </c>
      <c r="AK14" s="32">
        <f t="shared" si="3"/>
        <v>25</v>
      </c>
      <c r="AL14" s="33">
        <f t="shared" si="3"/>
        <v>2</v>
      </c>
    </row>
    <row r="15" spans="1:38" ht="25.8" x14ac:dyDescent="0.5">
      <c r="B15" s="30">
        <v>3434</v>
      </c>
      <c r="C15" s="31" t="s">
        <v>11</v>
      </c>
      <c r="D15" s="32" t="s">
        <v>70</v>
      </c>
      <c r="E15" s="32" t="s">
        <v>70</v>
      </c>
      <c r="F15" s="32" t="s">
        <v>70</v>
      </c>
      <c r="G15" s="32" t="s">
        <v>70</v>
      </c>
      <c r="H15" s="32" t="s">
        <v>70</v>
      </c>
      <c r="I15" s="32" t="s">
        <v>70</v>
      </c>
      <c r="J15" s="32"/>
      <c r="K15" s="32" t="s">
        <v>70</v>
      </c>
      <c r="L15" s="32" t="s">
        <v>70</v>
      </c>
      <c r="M15" s="32" t="s">
        <v>70</v>
      </c>
      <c r="N15" s="32" t="s">
        <v>70</v>
      </c>
      <c r="O15" s="32" t="s">
        <v>71</v>
      </c>
      <c r="P15" s="32" t="s">
        <v>70</v>
      </c>
      <c r="Q15" s="32"/>
      <c r="R15" s="32" t="s">
        <v>70</v>
      </c>
      <c r="S15" s="32" t="s">
        <v>70</v>
      </c>
      <c r="T15" s="32" t="s">
        <v>70</v>
      </c>
      <c r="U15" s="32" t="s">
        <v>70</v>
      </c>
      <c r="V15" s="32" t="s">
        <v>70</v>
      </c>
      <c r="W15" s="32" t="s">
        <v>70</v>
      </c>
      <c r="X15" s="32"/>
      <c r="Y15" s="32" t="s">
        <v>70</v>
      </c>
      <c r="Z15" s="32" t="s">
        <v>70</v>
      </c>
      <c r="AA15" s="32" t="s">
        <v>70</v>
      </c>
      <c r="AB15" s="32" t="s">
        <v>70</v>
      </c>
      <c r="AC15" s="32" t="s">
        <v>70</v>
      </c>
      <c r="AD15" s="32" t="s">
        <v>71</v>
      </c>
      <c r="AE15" s="32"/>
      <c r="AF15" s="32" t="s">
        <v>70</v>
      </c>
      <c r="AG15" s="32" t="s">
        <v>70</v>
      </c>
      <c r="AH15" s="32" t="s">
        <v>70</v>
      </c>
      <c r="AI15" s="28"/>
      <c r="AJ15" s="32">
        <f t="shared" si="2"/>
        <v>27</v>
      </c>
      <c r="AK15" s="32">
        <f t="shared" si="3"/>
        <v>25</v>
      </c>
      <c r="AL15" s="33">
        <f t="shared" si="3"/>
        <v>2</v>
      </c>
    </row>
    <row r="16" spans="1:38" ht="25.8" x14ac:dyDescent="0.5">
      <c r="B16" s="30">
        <v>3435</v>
      </c>
      <c r="C16" s="31" t="s">
        <v>12</v>
      </c>
      <c r="D16" s="32" t="s">
        <v>70</v>
      </c>
      <c r="E16" s="32" t="s">
        <v>71</v>
      </c>
      <c r="F16" s="32" t="s">
        <v>70</v>
      </c>
      <c r="G16" s="32" t="s">
        <v>70</v>
      </c>
      <c r="H16" s="32" t="s">
        <v>70</v>
      </c>
      <c r="I16" s="32" t="s">
        <v>70</v>
      </c>
      <c r="J16" s="32"/>
      <c r="K16" s="32" t="s">
        <v>70</v>
      </c>
      <c r="L16" s="32" t="s">
        <v>70</v>
      </c>
      <c r="M16" s="32" t="s">
        <v>70</v>
      </c>
      <c r="N16" s="32" t="s">
        <v>70</v>
      </c>
      <c r="O16" s="32" t="s">
        <v>70</v>
      </c>
      <c r="P16" s="32" t="s">
        <v>70</v>
      </c>
      <c r="Q16" s="32"/>
      <c r="R16" s="32" t="s">
        <v>70</v>
      </c>
      <c r="S16" s="32" t="s">
        <v>70</v>
      </c>
      <c r="T16" s="32" t="s">
        <v>70</v>
      </c>
      <c r="U16" s="32" t="s">
        <v>70</v>
      </c>
      <c r="V16" s="32" t="s">
        <v>70</v>
      </c>
      <c r="W16" s="32" t="s">
        <v>70</v>
      </c>
      <c r="X16" s="32"/>
      <c r="Y16" s="32" t="s">
        <v>70</v>
      </c>
      <c r="Z16" s="32" t="s">
        <v>71</v>
      </c>
      <c r="AA16" s="32" t="s">
        <v>70</v>
      </c>
      <c r="AB16" s="32" t="s">
        <v>70</v>
      </c>
      <c r="AC16" s="32" t="s">
        <v>70</v>
      </c>
      <c r="AD16" s="32" t="s">
        <v>70</v>
      </c>
      <c r="AE16" s="32"/>
      <c r="AF16" s="32" t="s">
        <v>70</v>
      </c>
      <c r="AG16" s="32" t="s">
        <v>70</v>
      </c>
      <c r="AH16" s="32" t="s">
        <v>70</v>
      </c>
      <c r="AI16" s="28"/>
      <c r="AJ16" s="32">
        <f t="shared" si="2"/>
        <v>27</v>
      </c>
      <c r="AK16" s="32">
        <f t="shared" si="3"/>
        <v>25</v>
      </c>
      <c r="AL16" s="33">
        <f t="shared" si="3"/>
        <v>2</v>
      </c>
    </row>
    <row r="17" spans="2:38" ht="25.8" x14ac:dyDescent="0.5">
      <c r="B17" s="30">
        <v>3436</v>
      </c>
      <c r="C17" s="31" t="s">
        <v>13</v>
      </c>
      <c r="D17" s="32" t="s">
        <v>70</v>
      </c>
      <c r="E17" s="32" t="s">
        <v>70</v>
      </c>
      <c r="F17" s="32" t="s">
        <v>70</v>
      </c>
      <c r="G17" s="32" t="s">
        <v>71</v>
      </c>
      <c r="H17" s="32" t="s">
        <v>70</v>
      </c>
      <c r="I17" s="32" t="s">
        <v>70</v>
      </c>
      <c r="J17" s="32"/>
      <c r="K17" s="32" t="s">
        <v>70</v>
      </c>
      <c r="L17" s="32" t="s">
        <v>70</v>
      </c>
      <c r="M17" s="32" t="s">
        <v>70</v>
      </c>
      <c r="N17" s="32" t="s">
        <v>70</v>
      </c>
      <c r="O17" s="32" t="s">
        <v>70</v>
      </c>
      <c r="P17" s="32" t="s">
        <v>70</v>
      </c>
      <c r="Q17" s="32"/>
      <c r="R17" s="32" t="s">
        <v>70</v>
      </c>
      <c r="S17" s="32" t="s">
        <v>70</v>
      </c>
      <c r="T17" s="32" t="s">
        <v>70</v>
      </c>
      <c r="U17" s="32" t="s">
        <v>70</v>
      </c>
      <c r="V17" s="32" t="s">
        <v>70</v>
      </c>
      <c r="W17" s="32" t="s">
        <v>70</v>
      </c>
      <c r="X17" s="32"/>
      <c r="Y17" s="32" t="s">
        <v>70</v>
      </c>
      <c r="Z17" s="32" t="s">
        <v>70</v>
      </c>
      <c r="AA17" s="32" t="s">
        <v>70</v>
      </c>
      <c r="AB17" s="32" t="s">
        <v>70</v>
      </c>
      <c r="AC17" s="32" t="s">
        <v>70</v>
      </c>
      <c r="AD17" s="32" t="s">
        <v>70</v>
      </c>
      <c r="AE17" s="32"/>
      <c r="AF17" s="32" t="s">
        <v>70</v>
      </c>
      <c r="AG17" s="32" t="s">
        <v>71</v>
      </c>
      <c r="AH17" s="32" t="s">
        <v>70</v>
      </c>
      <c r="AI17" s="28"/>
      <c r="AJ17" s="32">
        <f t="shared" si="2"/>
        <v>27</v>
      </c>
      <c r="AK17" s="32">
        <f t="shared" si="3"/>
        <v>25</v>
      </c>
      <c r="AL17" s="33">
        <f t="shared" si="3"/>
        <v>2</v>
      </c>
    </row>
    <row r="18" spans="2:38" ht="25.8" x14ac:dyDescent="0.5">
      <c r="B18" s="30">
        <v>3437</v>
      </c>
      <c r="C18" s="31" t="s">
        <v>14</v>
      </c>
      <c r="D18" s="32" t="s">
        <v>70</v>
      </c>
      <c r="E18" s="32" t="s">
        <v>70</v>
      </c>
      <c r="F18" s="32" t="s">
        <v>70</v>
      </c>
      <c r="G18" s="32" t="s">
        <v>70</v>
      </c>
      <c r="H18" s="32" t="s">
        <v>70</v>
      </c>
      <c r="I18" s="32" t="s">
        <v>70</v>
      </c>
      <c r="J18" s="32"/>
      <c r="K18" s="32" t="s">
        <v>70</v>
      </c>
      <c r="L18" s="32" t="s">
        <v>70</v>
      </c>
      <c r="M18" s="32" t="s">
        <v>70</v>
      </c>
      <c r="N18" s="32" t="s">
        <v>70</v>
      </c>
      <c r="O18" s="32" t="s">
        <v>70</v>
      </c>
      <c r="P18" s="32" t="s">
        <v>70</v>
      </c>
      <c r="Q18" s="32"/>
      <c r="R18" s="32" t="s">
        <v>70</v>
      </c>
      <c r="S18" s="32" t="s">
        <v>70</v>
      </c>
      <c r="T18" s="32" t="s">
        <v>71</v>
      </c>
      <c r="U18" s="32" t="s">
        <v>70</v>
      </c>
      <c r="V18" s="32" t="s">
        <v>70</v>
      </c>
      <c r="W18" s="32" t="s">
        <v>70</v>
      </c>
      <c r="X18" s="32"/>
      <c r="Y18" s="32" t="s">
        <v>70</v>
      </c>
      <c r="Z18" s="32" t="s">
        <v>70</v>
      </c>
      <c r="AA18" s="32" t="s">
        <v>70</v>
      </c>
      <c r="AB18" s="32" t="s">
        <v>70</v>
      </c>
      <c r="AC18" s="32" t="s">
        <v>70</v>
      </c>
      <c r="AD18" s="32" t="s">
        <v>70</v>
      </c>
      <c r="AE18" s="32"/>
      <c r="AF18" s="32" t="s">
        <v>70</v>
      </c>
      <c r="AG18" s="32" t="s">
        <v>70</v>
      </c>
      <c r="AH18" s="32" t="s">
        <v>70</v>
      </c>
      <c r="AI18" s="28"/>
      <c r="AJ18" s="32">
        <f t="shared" si="2"/>
        <v>27</v>
      </c>
      <c r="AK18" s="32">
        <f t="shared" si="3"/>
        <v>26</v>
      </c>
      <c r="AL18" s="33">
        <f t="shared" si="3"/>
        <v>1</v>
      </c>
    </row>
    <row r="19" spans="2:38" ht="25.8" x14ac:dyDescent="0.5">
      <c r="B19" s="30">
        <v>3438</v>
      </c>
      <c r="C19" s="31" t="s">
        <v>15</v>
      </c>
      <c r="D19" s="32" t="s">
        <v>70</v>
      </c>
      <c r="E19" s="32" t="s">
        <v>70</v>
      </c>
      <c r="F19" s="32" t="s">
        <v>70</v>
      </c>
      <c r="G19" s="32" t="s">
        <v>70</v>
      </c>
      <c r="H19" s="32" t="s">
        <v>70</v>
      </c>
      <c r="I19" s="32" t="s">
        <v>70</v>
      </c>
      <c r="J19" s="32"/>
      <c r="K19" s="32" t="s">
        <v>70</v>
      </c>
      <c r="L19" s="32" t="s">
        <v>70</v>
      </c>
      <c r="M19" s="32" t="s">
        <v>70</v>
      </c>
      <c r="N19" s="32" t="s">
        <v>70</v>
      </c>
      <c r="O19" s="32" t="s">
        <v>70</v>
      </c>
      <c r="P19" s="32" t="s">
        <v>70</v>
      </c>
      <c r="Q19" s="32"/>
      <c r="R19" s="32" t="s">
        <v>70</v>
      </c>
      <c r="S19" s="32" t="s">
        <v>70</v>
      </c>
      <c r="T19" s="32" t="s">
        <v>70</v>
      </c>
      <c r="U19" s="32" t="s">
        <v>70</v>
      </c>
      <c r="V19" s="32" t="s">
        <v>70</v>
      </c>
      <c r="W19" s="32" t="s">
        <v>70</v>
      </c>
      <c r="X19" s="32"/>
      <c r="Y19" s="32" t="s">
        <v>70</v>
      </c>
      <c r="Z19" s="32" t="s">
        <v>70</v>
      </c>
      <c r="AA19" s="32" t="s">
        <v>70</v>
      </c>
      <c r="AB19" s="32" t="s">
        <v>70</v>
      </c>
      <c r="AC19" s="32" t="s">
        <v>71</v>
      </c>
      <c r="AD19" s="32" t="s">
        <v>70</v>
      </c>
      <c r="AE19" s="32"/>
      <c r="AF19" s="32" t="s">
        <v>70</v>
      </c>
      <c r="AG19" s="32" t="s">
        <v>70</v>
      </c>
      <c r="AH19" s="32" t="s">
        <v>70</v>
      </c>
      <c r="AI19" s="28"/>
      <c r="AJ19" s="32">
        <f t="shared" si="2"/>
        <v>27</v>
      </c>
      <c r="AK19" s="32">
        <f t="shared" si="3"/>
        <v>26</v>
      </c>
      <c r="AL19" s="33">
        <f t="shared" si="3"/>
        <v>1</v>
      </c>
    </row>
    <row r="20" spans="2:38" ht="25.8" x14ac:dyDescent="0.5">
      <c r="B20" s="30">
        <v>3439</v>
      </c>
      <c r="C20" s="31" t="s">
        <v>16</v>
      </c>
      <c r="D20" s="32" t="s">
        <v>70</v>
      </c>
      <c r="E20" s="32" t="s">
        <v>70</v>
      </c>
      <c r="F20" s="32" t="s">
        <v>70</v>
      </c>
      <c r="G20" s="32" t="s">
        <v>70</v>
      </c>
      <c r="H20" s="32" t="s">
        <v>70</v>
      </c>
      <c r="I20" s="32" t="s">
        <v>70</v>
      </c>
      <c r="J20" s="32"/>
      <c r="K20" s="32" t="s">
        <v>70</v>
      </c>
      <c r="L20" s="32" t="s">
        <v>70</v>
      </c>
      <c r="M20" s="32" t="s">
        <v>70</v>
      </c>
      <c r="N20" s="32" t="s">
        <v>70</v>
      </c>
      <c r="O20" s="32" t="s">
        <v>70</v>
      </c>
      <c r="P20" s="32" t="s">
        <v>70</v>
      </c>
      <c r="Q20" s="32"/>
      <c r="R20" s="32" t="s">
        <v>70</v>
      </c>
      <c r="S20" s="32" t="s">
        <v>70</v>
      </c>
      <c r="T20" s="32" t="s">
        <v>70</v>
      </c>
      <c r="U20" s="32" t="s">
        <v>70</v>
      </c>
      <c r="V20" s="32" t="s">
        <v>71</v>
      </c>
      <c r="W20" s="32" t="s">
        <v>70</v>
      </c>
      <c r="X20" s="32"/>
      <c r="Y20" s="32" t="s">
        <v>70</v>
      </c>
      <c r="Z20" s="32" t="s">
        <v>71</v>
      </c>
      <c r="AA20" s="32" t="s">
        <v>70</v>
      </c>
      <c r="AB20" s="32" t="s">
        <v>70</v>
      </c>
      <c r="AC20" s="32" t="s">
        <v>70</v>
      </c>
      <c r="AD20" s="32" t="s">
        <v>70</v>
      </c>
      <c r="AE20" s="32"/>
      <c r="AF20" s="32" t="s">
        <v>70</v>
      </c>
      <c r="AG20" s="32" t="s">
        <v>70</v>
      </c>
      <c r="AH20" s="32" t="s">
        <v>70</v>
      </c>
      <c r="AI20" s="28"/>
      <c r="AJ20" s="32">
        <f t="shared" si="2"/>
        <v>27</v>
      </c>
      <c r="AK20" s="32">
        <f t="shared" si="3"/>
        <v>25</v>
      </c>
      <c r="AL20" s="33">
        <f t="shared" si="3"/>
        <v>2</v>
      </c>
    </row>
    <row r="21" spans="2:38" ht="25.8" x14ac:dyDescent="0.5">
      <c r="B21" s="30">
        <v>3440</v>
      </c>
      <c r="C21" s="31" t="s">
        <v>17</v>
      </c>
      <c r="D21" s="32" t="s">
        <v>70</v>
      </c>
      <c r="E21" s="32" t="s">
        <v>70</v>
      </c>
      <c r="F21" s="32" t="s">
        <v>70</v>
      </c>
      <c r="G21" s="32" t="s">
        <v>70</v>
      </c>
      <c r="H21" s="32" t="s">
        <v>70</v>
      </c>
      <c r="I21" s="32" t="s">
        <v>70</v>
      </c>
      <c r="J21" s="32"/>
      <c r="K21" s="32" t="s">
        <v>70</v>
      </c>
      <c r="L21" s="32" t="s">
        <v>70</v>
      </c>
      <c r="M21" s="32" t="s">
        <v>70</v>
      </c>
      <c r="N21" s="32" t="s">
        <v>70</v>
      </c>
      <c r="O21" s="32" t="s">
        <v>71</v>
      </c>
      <c r="P21" s="32" t="s">
        <v>70</v>
      </c>
      <c r="Q21" s="32"/>
      <c r="R21" s="32" t="s">
        <v>70</v>
      </c>
      <c r="S21" s="32" t="s">
        <v>70</v>
      </c>
      <c r="T21" s="32" t="s">
        <v>70</v>
      </c>
      <c r="U21" s="32" t="s">
        <v>70</v>
      </c>
      <c r="V21" s="32" t="s">
        <v>70</v>
      </c>
      <c r="W21" s="32" t="s">
        <v>70</v>
      </c>
      <c r="X21" s="32"/>
      <c r="Y21" s="32" t="s">
        <v>70</v>
      </c>
      <c r="Z21" s="32" t="s">
        <v>70</v>
      </c>
      <c r="AA21" s="32" t="s">
        <v>70</v>
      </c>
      <c r="AB21" s="32" t="s">
        <v>70</v>
      </c>
      <c r="AC21" s="32" t="s">
        <v>70</v>
      </c>
      <c r="AD21" s="32" t="s">
        <v>70</v>
      </c>
      <c r="AE21" s="32"/>
      <c r="AF21" s="32" t="s">
        <v>70</v>
      </c>
      <c r="AG21" s="32" t="s">
        <v>70</v>
      </c>
      <c r="AH21" s="32" t="s">
        <v>70</v>
      </c>
      <c r="AI21" s="28"/>
      <c r="AJ21" s="32">
        <f t="shared" si="2"/>
        <v>27</v>
      </c>
      <c r="AK21" s="32">
        <f t="shared" si="3"/>
        <v>26</v>
      </c>
      <c r="AL21" s="33">
        <f t="shared" si="3"/>
        <v>1</v>
      </c>
    </row>
    <row r="22" spans="2:38" ht="25.8" x14ac:dyDescent="0.5">
      <c r="B22" s="30">
        <v>3441</v>
      </c>
      <c r="C22" s="31" t="s">
        <v>18</v>
      </c>
      <c r="D22" s="32" t="s">
        <v>70</v>
      </c>
      <c r="E22" s="32" t="s">
        <v>70</v>
      </c>
      <c r="F22" s="32" t="s">
        <v>70</v>
      </c>
      <c r="G22" s="32" t="s">
        <v>70</v>
      </c>
      <c r="H22" s="32" t="s">
        <v>70</v>
      </c>
      <c r="I22" s="32" t="s">
        <v>70</v>
      </c>
      <c r="J22" s="32"/>
      <c r="K22" s="32" t="s">
        <v>70</v>
      </c>
      <c r="L22" s="32" t="s">
        <v>71</v>
      </c>
      <c r="M22" s="32" t="s">
        <v>70</v>
      </c>
      <c r="N22" s="32" t="s">
        <v>70</v>
      </c>
      <c r="O22" s="32" t="s">
        <v>70</v>
      </c>
      <c r="P22" s="32" t="s">
        <v>70</v>
      </c>
      <c r="Q22" s="32"/>
      <c r="R22" s="32" t="s">
        <v>70</v>
      </c>
      <c r="S22" s="32" t="s">
        <v>70</v>
      </c>
      <c r="T22" s="32" t="s">
        <v>70</v>
      </c>
      <c r="U22" s="32" t="s">
        <v>70</v>
      </c>
      <c r="V22" s="32" t="s">
        <v>70</v>
      </c>
      <c r="W22" s="32" t="s">
        <v>70</v>
      </c>
      <c r="X22" s="32"/>
      <c r="Y22" s="32" t="s">
        <v>70</v>
      </c>
      <c r="Z22" s="32" t="s">
        <v>70</v>
      </c>
      <c r="AA22" s="32" t="s">
        <v>70</v>
      </c>
      <c r="AB22" s="32" t="s">
        <v>70</v>
      </c>
      <c r="AC22" s="32" t="s">
        <v>70</v>
      </c>
      <c r="AD22" s="32" t="s">
        <v>70</v>
      </c>
      <c r="AE22" s="32"/>
      <c r="AF22" s="32" t="s">
        <v>70</v>
      </c>
      <c r="AG22" s="32" t="s">
        <v>70</v>
      </c>
      <c r="AH22" s="32" t="s">
        <v>70</v>
      </c>
      <c r="AI22" s="28"/>
      <c r="AJ22" s="32">
        <f t="shared" si="2"/>
        <v>27</v>
      </c>
      <c r="AK22" s="32">
        <f t="shared" si="3"/>
        <v>26</v>
      </c>
      <c r="AL22" s="33">
        <f t="shared" si="3"/>
        <v>1</v>
      </c>
    </row>
    <row r="23" spans="2:38" ht="25.8" x14ac:dyDescent="0.5">
      <c r="B23" s="30">
        <v>3442</v>
      </c>
      <c r="C23" s="31" t="s">
        <v>19</v>
      </c>
      <c r="D23" s="32" t="s">
        <v>70</v>
      </c>
      <c r="E23" s="32" t="s">
        <v>70</v>
      </c>
      <c r="F23" s="32" t="s">
        <v>71</v>
      </c>
      <c r="G23" s="32" t="s">
        <v>70</v>
      </c>
      <c r="H23" s="32" t="s">
        <v>70</v>
      </c>
      <c r="I23" s="32" t="s">
        <v>70</v>
      </c>
      <c r="J23" s="32"/>
      <c r="K23" s="32" t="s">
        <v>70</v>
      </c>
      <c r="L23" s="32" t="s">
        <v>70</v>
      </c>
      <c r="M23" s="32" t="s">
        <v>70</v>
      </c>
      <c r="N23" s="32" t="s">
        <v>70</v>
      </c>
      <c r="O23" s="32" t="s">
        <v>70</v>
      </c>
      <c r="P23" s="32" t="s">
        <v>70</v>
      </c>
      <c r="Q23" s="32"/>
      <c r="R23" s="32" t="s">
        <v>70</v>
      </c>
      <c r="S23" s="32" t="s">
        <v>70</v>
      </c>
      <c r="T23" s="32" t="s">
        <v>71</v>
      </c>
      <c r="U23" s="32" t="s">
        <v>70</v>
      </c>
      <c r="V23" s="32" t="s">
        <v>70</v>
      </c>
      <c r="W23" s="32" t="s">
        <v>70</v>
      </c>
      <c r="X23" s="32"/>
      <c r="Y23" s="32" t="s">
        <v>70</v>
      </c>
      <c r="Z23" s="32" t="s">
        <v>70</v>
      </c>
      <c r="AA23" s="32" t="s">
        <v>70</v>
      </c>
      <c r="AB23" s="32" t="s">
        <v>70</v>
      </c>
      <c r="AC23" s="32" t="s">
        <v>70</v>
      </c>
      <c r="AD23" s="32" t="s">
        <v>70</v>
      </c>
      <c r="AE23" s="32"/>
      <c r="AF23" s="32" t="s">
        <v>70</v>
      </c>
      <c r="AG23" s="32" t="s">
        <v>70</v>
      </c>
      <c r="AH23" s="32" t="s">
        <v>70</v>
      </c>
      <c r="AI23" s="28"/>
      <c r="AJ23" s="32">
        <f t="shared" si="2"/>
        <v>27</v>
      </c>
      <c r="AK23" s="32">
        <f t="shared" si="3"/>
        <v>25</v>
      </c>
      <c r="AL23" s="33">
        <f t="shared" si="3"/>
        <v>2</v>
      </c>
    </row>
    <row r="24" spans="2:38" ht="25.8" x14ac:dyDescent="0.5">
      <c r="B24" s="30">
        <v>3443</v>
      </c>
      <c r="C24" s="31" t="s">
        <v>20</v>
      </c>
      <c r="D24" s="32" t="s">
        <v>70</v>
      </c>
      <c r="E24" s="32" t="s">
        <v>70</v>
      </c>
      <c r="F24" s="32" t="s">
        <v>70</v>
      </c>
      <c r="G24" s="32" t="s">
        <v>70</v>
      </c>
      <c r="H24" s="32" t="s">
        <v>70</v>
      </c>
      <c r="I24" s="32" t="s">
        <v>70</v>
      </c>
      <c r="J24" s="32"/>
      <c r="K24" s="32" t="s">
        <v>70</v>
      </c>
      <c r="L24" s="32" t="s">
        <v>70</v>
      </c>
      <c r="M24" s="32" t="s">
        <v>70</v>
      </c>
      <c r="N24" s="32" t="s">
        <v>70</v>
      </c>
      <c r="O24" s="32" t="s">
        <v>70</v>
      </c>
      <c r="P24" s="32" t="s">
        <v>70</v>
      </c>
      <c r="Q24" s="32"/>
      <c r="R24" s="32" t="s">
        <v>70</v>
      </c>
      <c r="S24" s="32" t="s">
        <v>70</v>
      </c>
      <c r="T24" s="32" t="s">
        <v>70</v>
      </c>
      <c r="U24" s="32" t="s">
        <v>70</v>
      </c>
      <c r="V24" s="32" t="s">
        <v>70</v>
      </c>
      <c r="W24" s="32" t="s">
        <v>70</v>
      </c>
      <c r="X24" s="32"/>
      <c r="Y24" s="32" t="s">
        <v>70</v>
      </c>
      <c r="Z24" s="32" t="s">
        <v>71</v>
      </c>
      <c r="AA24" s="32" t="s">
        <v>70</v>
      </c>
      <c r="AB24" s="32" t="s">
        <v>70</v>
      </c>
      <c r="AC24" s="32" t="s">
        <v>70</v>
      </c>
      <c r="AD24" s="32" t="s">
        <v>70</v>
      </c>
      <c r="AE24" s="32"/>
      <c r="AF24" s="32" t="s">
        <v>70</v>
      </c>
      <c r="AG24" s="32" t="s">
        <v>70</v>
      </c>
      <c r="AH24" s="32" t="s">
        <v>71</v>
      </c>
      <c r="AI24" s="28"/>
      <c r="AJ24" s="32">
        <f t="shared" si="2"/>
        <v>27</v>
      </c>
      <c r="AK24" s="32">
        <f t="shared" si="3"/>
        <v>25</v>
      </c>
      <c r="AL24" s="33">
        <f t="shared" si="3"/>
        <v>2</v>
      </c>
    </row>
    <row r="25" spans="2:38" ht="25.8" x14ac:dyDescent="0.5">
      <c r="B25" s="30">
        <v>3444</v>
      </c>
      <c r="C25" s="31" t="s">
        <v>21</v>
      </c>
      <c r="D25" s="32" t="s">
        <v>70</v>
      </c>
      <c r="E25" s="32" t="s">
        <v>70</v>
      </c>
      <c r="F25" s="32" t="s">
        <v>70</v>
      </c>
      <c r="G25" s="32" t="s">
        <v>70</v>
      </c>
      <c r="H25" s="32" t="s">
        <v>70</v>
      </c>
      <c r="I25" s="32" t="s">
        <v>70</v>
      </c>
      <c r="J25" s="32"/>
      <c r="K25" s="32" t="s">
        <v>70</v>
      </c>
      <c r="L25" s="32" t="s">
        <v>70</v>
      </c>
      <c r="M25" s="32" t="s">
        <v>70</v>
      </c>
      <c r="N25" s="32" t="s">
        <v>71</v>
      </c>
      <c r="O25" s="32" t="s">
        <v>70</v>
      </c>
      <c r="P25" s="32" t="s">
        <v>70</v>
      </c>
      <c r="Q25" s="32"/>
      <c r="R25" s="32" t="s">
        <v>70</v>
      </c>
      <c r="S25" s="32" t="s">
        <v>70</v>
      </c>
      <c r="T25" s="32" t="s">
        <v>70</v>
      </c>
      <c r="U25" s="32" t="s">
        <v>70</v>
      </c>
      <c r="V25" s="32" t="s">
        <v>70</v>
      </c>
      <c r="W25" s="32" t="s">
        <v>70</v>
      </c>
      <c r="X25" s="32"/>
      <c r="Y25" s="32" t="s">
        <v>70</v>
      </c>
      <c r="Z25" s="32" t="s">
        <v>70</v>
      </c>
      <c r="AA25" s="32" t="s">
        <v>70</v>
      </c>
      <c r="AB25" s="32" t="s">
        <v>70</v>
      </c>
      <c r="AC25" s="32" t="s">
        <v>70</v>
      </c>
      <c r="AD25" s="32" t="s">
        <v>70</v>
      </c>
      <c r="AE25" s="32"/>
      <c r="AF25" s="32" t="s">
        <v>70</v>
      </c>
      <c r="AG25" s="32" t="s">
        <v>70</v>
      </c>
      <c r="AH25" s="32" t="s">
        <v>70</v>
      </c>
      <c r="AI25" s="28"/>
      <c r="AJ25" s="32">
        <f t="shared" si="2"/>
        <v>27</v>
      </c>
      <c r="AK25" s="32">
        <f t="shared" si="3"/>
        <v>26</v>
      </c>
      <c r="AL25" s="33">
        <f t="shared" si="3"/>
        <v>1</v>
      </c>
    </row>
    <row r="26" spans="2:38" ht="25.8" x14ac:dyDescent="0.5">
      <c r="B26" s="30">
        <v>3445</v>
      </c>
      <c r="C26" s="31" t="s">
        <v>22</v>
      </c>
      <c r="D26" s="32" t="s">
        <v>70</v>
      </c>
      <c r="E26" s="32" t="s">
        <v>70</v>
      </c>
      <c r="F26" s="32" t="s">
        <v>70</v>
      </c>
      <c r="G26" s="32" t="s">
        <v>70</v>
      </c>
      <c r="H26" s="32" t="s">
        <v>70</v>
      </c>
      <c r="I26" s="32" t="s">
        <v>70</v>
      </c>
      <c r="J26" s="32"/>
      <c r="K26" s="32" t="s">
        <v>70</v>
      </c>
      <c r="L26" s="32" t="s">
        <v>70</v>
      </c>
      <c r="M26" s="32" t="s">
        <v>70</v>
      </c>
      <c r="N26" s="32" t="s">
        <v>70</v>
      </c>
      <c r="O26" s="32" t="s">
        <v>70</v>
      </c>
      <c r="P26" s="32" t="s">
        <v>70</v>
      </c>
      <c r="Q26" s="32"/>
      <c r="R26" s="32" t="s">
        <v>70</v>
      </c>
      <c r="S26" s="32" t="s">
        <v>70</v>
      </c>
      <c r="T26" s="32" t="s">
        <v>70</v>
      </c>
      <c r="U26" s="32" t="s">
        <v>70</v>
      </c>
      <c r="V26" s="32" t="s">
        <v>70</v>
      </c>
      <c r="W26" s="32" t="s">
        <v>70</v>
      </c>
      <c r="X26" s="32"/>
      <c r="Y26" s="32" t="s">
        <v>70</v>
      </c>
      <c r="Z26" s="32" t="s">
        <v>70</v>
      </c>
      <c r="AA26" s="32" t="s">
        <v>70</v>
      </c>
      <c r="AB26" s="32" t="s">
        <v>70</v>
      </c>
      <c r="AC26" s="32" t="s">
        <v>70</v>
      </c>
      <c r="AD26" s="32" t="s">
        <v>70</v>
      </c>
      <c r="AE26" s="32"/>
      <c r="AF26" s="32" t="s">
        <v>70</v>
      </c>
      <c r="AG26" s="32" t="s">
        <v>70</v>
      </c>
      <c r="AH26" s="32" t="s">
        <v>70</v>
      </c>
      <c r="AI26" s="28"/>
      <c r="AJ26" s="32">
        <f t="shared" si="2"/>
        <v>27</v>
      </c>
      <c r="AK26" s="32">
        <f t="shared" si="3"/>
        <v>27</v>
      </c>
      <c r="AL26" s="33">
        <f t="shared" si="3"/>
        <v>0</v>
      </c>
    </row>
    <row r="27" spans="2:38" ht="25.8" x14ac:dyDescent="0.5">
      <c r="B27" s="30">
        <v>3446</v>
      </c>
      <c r="C27" s="31" t="s">
        <v>23</v>
      </c>
      <c r="D27" s="32" t="s">
        <v>70</v>
      </c>
      <c r="E27" s="32" t="s">
        <v>70</v>
      </c>
      <c r="F27" s="32" t="s">
        <v>70</v>
      </c>
      <c r="G27" s="32" t="s">
        <v>70</v>
      </c>
      <c r="H27" s="32" t="s">
        <v>70</v>
      </c>
      <c r="I27" s="32" t="s">
        <v>70</v>
      </c>
      <c r="J27" s="32"/>
      <c r="K27" s="32" t="s">
        <v>70</v>
      </c>
      <c r="L27" s="32" t="s">
        <v>70</v>
      </c>
      <c r="M27" s="32" t="s">
        <v>70</v>
      </c>
      <c r="N27" s="32" t="s">
        <v>70</v>
      </c>
      <c r="O27" s="32" t="s">
        <v>70</v>
      </c>
      <c r="P27" s="32" t="s">
        <v>70</v>
      </c>
      <c r="Q27" s="32"/>
      <c r="R27" s="32" t="s">
        <v>70</v>
      </c>
      <c r="S27" s="32" t="s">
        <v>70</v>
      </c>
      <c r="T27" s="32" t="s">
        <v>70</v>
      </c>
      <c r="U27" s="32" t="s">
        <v>70</v>
      </c>
      <c r="V27" s="32" t="s">
        <v>70</v>
      </c>
      <c r="W27" s="32" t="s">
        <v>70</v>
      </c>
      <c r="X27" s="32"/>
      <c r="Y27" s="32" t="s">
        <v>70</v>
      </c>
      <c r="Z27" s="32" t="s">
        <v>70</v>
      </c>
      <c r="AA27" s="32" t="s">
        <v>70</v>
      </c>
      <c r="AB27" s="32" t="s">
        <v>70</v>
      </c>
      <c r="AC27" s="32" t="s">
        <v>70</v>
      </c>
      <c r="AD27" s="32" t="s">
        <v>70</v>
      </c>
      <c r="AE27" s="32"/>
      <c r="AF27" s="32" t="s">
        <v>70</v>
      </c>
      <c r="AG27" s="32" t="s">
        <v>70</v>
      </c>
      <c r="AH27" s="32" t="s">
        <v>70</v>
      </c>
      <c r="AI27" s="28"/>
      <c r="AJ27" s="32">
        <f t="shared" si="2"/>
        <v>27</v>
      </c>
      <c r="AK27" s="32">
        <f t="shared" si="3"/>
        <v>27</v>
      </c>
      <c r="AL27" s="33">
        <f t="shared" si="3"/>
        <v>0</v>
      </c>
    </row>
    <row r="28" spans="2:38" ht="7.5" customHeight="1" thickBot="1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5"/>
    </row>
  </sheetData>
  <mergeCells count="7">
    <mergeCell ref="AL6:AL7"/>
    <mergeCell ref="D2:AL5"/>
    <mergeCell ref="B2:C2"/>
    <mergeCell ref="B6:B7"/>
    <mergeCell ref="C6:C7"/>
    <mergeCell ref="AJ6:AJ7"/>
    <mergeCell ref="AK6:AK7"/>
  </mergeCells>
  <conditionalFormatting sqref="D8:AH27">
    <cfRule type="containsText" dxfId="75" priority="1" operator="containsText" text="A">
      <formula>NOT(ISERROR(SEARCH("A",D8)))</formula>
    </cfRule>
    <cfRule type="expression" dxfId="74" priority="5">
      <formula>D$6="Sun"</formula>
    </cfRule>
    <cfRule type="expression" dxfId="73" priority="6">
      <formula>D$6="Sun"</formula>
    </cfRule>
  </conditionalFormatting>
  <conditionalFormatting sqref="D6:AL7">
    <cfRule type="notContainsBlanks" dxfId="72" priority="2">
      <formula>LEN(TRIM(D6))&gt;0</formula>
    </cfRule>
    <cfRule type="notContainsBlanks" dxfId="71" priority="3">
      <formula>LEN(TRIM(D6))&gt;0</formula>
    </cfRule>
  </conditionalFormatting>
  <conditionalFormatting sqref="D6:AL27">
    <cfRule type="expression" dxfId="70" priority="4">
      <formula>D$6&lt;&gt;""</formula>
    </cfRule>
  </conditionalFormatting>
  <dataValidations count="4">
    <dataValidation type="list" allowBlank="1" showInputMessage="1" showErrorMessage="1" sqref="C3" xr:uid="{00000000-0002-0000-0500-000000000000}">
      <formula1>"JANUARY,FEBRUARY,MARCH,APRIL,MAY,JUNE,JULY,AUGUST,SEPTEMBER,OCTOBER,NOVEMBER,DECEMBER"</formula1>
    </dataValidation>
    <dataValidation type="list" allowBlank="1" showInputMessage="1" showErrorMessage="1" sqref="C4" xr:uid="{00000000-0002-0000-0500-000001000000}">
      <formula1>"2024"</formula1>
    </dataValidation>
    <dataValidation type="custom" allowBlank="1" showInputMessage="1" showErrorMessage="1" errorTitle="Info" error="Week Off" sqref="AI6:AL27" xr:uid="{00000000-0002-0000-0500-000002000000}">
      <formula1>AI$6&lt;&gt;""</formula1>
    </dataValidation>
    <dataValidation type="custom" allowBlank="1" showInputMessage="1" showErrorMessage="1" errorTitle="Info" error="Week Off" sqref="D6:AH27" xr:uid="{00000000-0002-0000-0500-000003000000}">
      <formula1>D$6&lt;&gt;"Sun"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L28"/>
  <sheetViews>
    <sheetView showGridLines="0" zoomScale="40" zoomScaleNormal="40" workbookViewId="0"/>
  </sheetViews>
  <sheetFormatPr defaultRowHeight="14.4" x14ac:dyDescent="0.3"/>
  <cols>
    <col min="1" max="1" width="42.6640625" customWidth="1"/>
    <col min="2" max="2" width="27.6640625" bestFit="1" customWidth="1"/>
    <col min="3" max="3" width="23.44140625" bestFit="1" customWidth="1"/>
    <col min="4" max="34" width="12.33203125" bestFit="1" customWidth="1"/>
    <col min="36" max="36" width="28.6640625" bestFit="1" customWidth="1"/>
    <col min="37" max="38" width="5.88671875" bestFit="1" customWidth="1"/>
  </cols>
  <sheetData>
    <row r="1" spans="1:38" ht="85.5" customHeight="1" thickBot="1" x14ac:dyDescent="0.35"/>
    <row r="2" spans="1:38" ht="55.2" x14ac:dyDescent="1.3">
      <c r="A2" s="194" t="str">
        <f>HYPERLINK("#'Table Of contents'!B1","GO TO TOC SHEET")</f>
        <v>GO TO TOC SHEET</v>
      </c>
      <c r="B2" s="276" t="s">
        <v>93</v>
      </c>
      <c r="C2" s="277"/>
      <c r="D2" s="271" t="s">
        <v>72</v>
      </c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3"/>
    </row>
    <row r="3" spans="1:38" ht="21" x14ac:dyDescent="0.4">
      <c r="B3" s="11" t="s">
        <v>64</v>
      </c>
      <c r="C3" s="12" t="s">
        <v>67</v>
      </c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5"/>
    </row>
    <row r="4" spans="1:38" ht="21" x14ac:dyDescent="0.4">
      <c r="B4" s="11" t="s">
        <v>65</v>
      </c>
      <c r="C4" s="12">
        <v>2024</v>
      </c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5"/>
    </row>
    <row r="5" spans="1:38" ht="23.25" customHeight="1" x14ac:dyDescent="0.4">
      <c r="B5" s="19">
        <f>DATEVALUE("1"&amp;C3&amp;C4)</f>
        <v>45323</v>
      </c>
      <c r="C5" s="20">
        <f>EOMONTH(B5,0)</f>
        <v>45351</v>
      </c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5"/>
    </row>
    <row r="6" spans="1:38" ht="57.75" customHeight="1" x14ac:dyDescent="0.5">
      <c r="B6" s="278" t="s">
        <v>2</v>
      </c>
      <c r="C6" s="279" t="s">
        <v>3</v>
      </c>
      <c r="D6" s="27" t="str">
        <f>TEXT(D7,"DDD")</f>
        <v>Thu</v>
      </c>
      <c r="E6" s="27" t="str">
        <f t="shared" ref="E6:AF6" si="0">TEXT(E7,"DDD")</f>
        <v>Fri</v>
      </c>
      <c r="F6" s="27" t="str">
        <f t="shared" si="0"/>
        <v>Sat</v>
      </c>
      <c r="G6" s="27" t="str">
        <f t="shared" si="0"/>
        <v>Sun</v>
      </c>
      <c r="H6" s="27" t="str">
        <f t="shared" si="0"/>
        <v>Mon</v>
      </c>
      <c r="I6" s="27" t="str">
        <f t="shared" si="0"/>
        <v>Tue</v>
      </c>
      <c r="J6" s="27" t="str">
        <f t="shared" si="0"/>
        <v>Wed</v>
      </c>
      <c r="K6" s="27" t="str">
        <f t="shared" si="0"/>
        <v>Thu</v>
      </c>
      <c r="L6" s="27" t="str">
        <f t="shared" si="0"/>
        <v>Fri</v>
      </c>
      <c r="M6" s="27" t="str">
        <f t="shared" si="0"/>
        <v>Sat</v>
      </c>
      <c r="N6" s="27" t="str">
        <f t="shared" si="0"/>
        <v>Sun</v>
      </c>
      <c r="O6" s="27" t="str">
        <f t="shared" si="0"/>
        <v>Mon</v>
      </c>
      <c r="P6" s="27" t="str">
        <f t="shared" si="0"/>
        <v>Tue</v>
      </c>
      <c r="Q6" s="27" t="str">
        <f t="shared" si="0"/>
        <v>Wed</v>
      </c>
      <c r="R6" s="27" t="str">
        <f t="shared" si="0"/>
        <v>Thu</v>
      </c>
      <c r="S6" s="27" t="str">
        <f t="shared" si="0"/>
        <v>Fri</v>
      </c>
      <c r="T6" s="27" t="str">
        <f t="shared" si="0"/>
        <v>Sat</v>
      </c>
      <c r="U6" s="27" t="str">
        <f t="shared" si="0"/>
        <v>Sun</v>
      </c>
      <c r="V6" s="27" t="str">
        <f t="shared" si="0"/>
        <v>Mon</v>
      </c>
      <c r="W6" s="27" t="str">
        <f t="shared" si="0"/>
        <v>Tue</v>
      </c>
      <c r="X6" s="27" t="str">
        <f t="shared" si="0"/>
        <v>Wed</v>
      </c>
      <c r="Y6" s="27" t="str">
        <f t="shared" si="0"/>
        <v>Thu</v>
      </c>
      <c r="Z6" s="27" t="str">
        <f t="shared" si="0"/>
        <v>Fri</v>
      </c>
      <c r="AA6" s="27" t="str">
        <f t="shared" si="0"/>
        <v>Sat</v>
      </c>
      <c r="AB6" s="27" t="str">
        <f t="shared" si="0"/>
        <v>Sun</v>
      </c>
      <c r="AC6" s="27" t="str">
        <f t="shared" si="0"/>
        <v>Mon</v>
      </c>
      <c r="AD6" s="27" t="str">
        <f t="shared" si="0"/>
        <v>Tue</v>
      </c>
      <c r="AE6" s="27" t="str">
        <f t="shared" si="0"/>
        <v>Wed</v>
      </c>
      <c r="AF6" s="27" t="str">
        <f t="shared" si="0"/>
        <v>Thu</v>
      </c>
      <c r="AG6" s="28"/>
      <c r="AH6" s="280" t="s">
        <v>69</v>
      </c>
      <c r="AI6" s="280" t="s">
        <v>70</v>
      </c>
      <c r="AJ6" s="270" t="s">
        <v>71</v>
      </c>
    </row>
    <row r="7" spans="1:38" ht="25.8" x14ac:dyDescent="0.5">
      <c r="B7" s="278"/>
      <c r="C7" s="279"/>
      <c r="D7" s="29">
        <f>B5</f>
        <v>45323</v>
      </c>
      <c r="E7" s="29">
        <f>IFERROR(IF(D7+1&gt;$C$5,"",D7+1),"")</f>
        <v>45324</v>
      </c>
      <c r="F7" s="29">
        <f t="shared" ref="F7:AF7" si="1">IFERROR(IF(E7+1&gt;$C$5,"",E7+1),"")</f>
        <v>45325</v>
      </c>
      <c r="G7" s="29">
        <f t="shared" si="1"/>
        <v>45326</v>
      </c>
      <c r="H7" s="29">
        <f t="shared" si="1"/>
        <v>45327</v>
      </c>
      <c r="I7" s="29">
        <f t="shared" si="1"/>
        <v>45328</v>
      </c>
      <c r="J7" s="29">
        <f t="shared" si="1"/>
        <v>45329</v>
      </c>
      <c r="K7" s="29">
        <f t="shared" si="1"/>
        <v>45330</v>
      </c>
      <c r="L7" s="29">
        <f t="shared" si="1"/>
        <v>45331</v>
      </c>
      <c r="M7" s="29">
        <f t="shared" si="1"/>
        <v>45332</v>
      </c>
      <c r="N7" s="29">
        <f t="shared" si="1"/>
        <v>45333</v>
      </c>
      <c r="O7" s="29">
        <f t="shared" si="1"/>
        <v>45334</v>
      </c>
      <c r="P7" s="29">
        <f t="shared" si="1"/>
        <v>45335</v>
      </c>
      <c r="Q7" s="29">
        <f t="shared" si="1"/>
        <v>45336</v>
      </c>
      <c r="R7" s="29">
        <f t="shared" si="1"/>
        <v>45337</v>
      </c>
      <c r="S7" s="29">
        <f>IFERROR(IF(R7+1&gt;$C$5,"",R7+1),"")</f>
        <v>45338</v>
      </c>
      <c r="T7" s="29">
        <f t="shared" si="1"/>
        <v>45339</v>
      </c>
      <c r="U7" s="29">
        <f t="shared" si="1"/>
        <v>45340</v>
      </c>
      <c r="V7" s="29">
        <f t="shared" si="1"/>
        <v>45341</v>
      </c>
      <c r="W7" s="29">
        <f t="shared" si="1"/>
        <v>45342</v>
      </c>
      <c r="X7" s="29">
        <f t="shared" si="1"/>
        <v>45343</v>
      </c>
      <c r="Y7" s="29">
        <f t="shared" si="1"/>
        <v>45344</v>
      </c>
      <c r="Z7" s="29">
        <f>IFERROR(IF(Y7+1&gt;$C$5,"",Y7+1),"")</f>
        <v>45345</v>
      </c>
      <c r="AA7" s="29">
        <f t="shared" si="1"/>
        <v>45346</v>
      </c>
      <c r="AB7" s="29">
        <f t="shared" si="1"/>
        <v>45347</v>
      </c>
      <c r="AC7" s="29">
        <f t="shared" si="1"/>
        <v>45348</v>
      </c>
      <c r="AD7" s="29">
        <f t="shared" si="1"/>
        <v>45349</v>
      </c>
      <c r="AE7" s="29">
        <f t="shared" si="1"/>
        <v>45350</v>
      </c>
      <c r="AF7" s="29">
        <f t="shared" si="1"/>
        <v>45351</v>
      </c>
      <c r="AG7" s="28"/>
      <c r="AH7" s="280"/>
      <c r="AI7" s="280"/>
      <c r="AJ7" s="270"/>
    </row>
    <row r="8" spans="1:38" ht="25.8" x14ac:dyDescent="0.5">
      <c r="B8" s="30">
        <v>3427</v>
      </c>
      <c r="C8" s="31" t="s">
        <v>4</v>
      </c>
      <c r="D8" s="32" t="s">
        <v>70</v>
      </c>
      <c r="E8" s="32" t="s">
        <v>70</v>
      </c>
      <c r="F8" s="32" t="s">
        <v>70</v>
      </c>
      <c r="G8" s="32"/>
      <c r="H8" s="32" t="s">
        <v>70</v>
      </c>
      <c r="I8" s="32" t="s">
        <v>70</v>
      </c>
      <c r="J8" s="32" t="s">
        <v>70</v>
      </c>
      <c r="K8" s="32" t="s">
        <v>70</v>
      </c>
      <c r="L8" s="32" t="s">
        <v>70</v>
      </c>
      <c r="M8" s="32" t="s">
        <v>70</v>
      </c>
      <c r="N8" s="32"/>
      <c r="O8" s="32" t="s">
        <v>70</v>
      </c>
      <c r="P8" s="32" t="s">
        <v>70</v>
      </c>
      <c r="Q8" s="32" t="s">
        <v>70</v>
      </c>
      <c r="R8" s="32" t="s">
        <v>70</v>
      </c>
      <c r="S8" s="32" t="s">
        <v>70</v>
      </c>
      <c r="T8" s="32" t="s">
        <v>70</v>
      </c>
      <c r="U8" s="32"/>
      <c r="V8" s="32" t="s">
        <v>70</v>
      </c>
      <c r="W8" s="32" t="s">
        <v>70</v>
      </c>
      <c r="X8" s="32" t="s">
        <v>70</v>
      </c>
      <c r="Y8" s="32" t="s">
        <v>70</v>
      </c>
      <c r="Z8" s="32" t="s">
        <v>70</v>
      </c>
      <c r="AA8" s="32" t="s">
        <v>70</v>
      </c>
      <c r="AB8" s="32"/>
      <c r="AC8" s="32" t="s">
        <v>70</v>
      </c>
      <c r="AD8" s="32" t="s">
        <v>70</v>
      </c>
      <c r="AE8" s="32" t="s">
        <v>70</v>
      </c>
      <c r="AF8" s="32" t="s">
        <v>70</v>
      </c>
      <c r="AG8" s="28"/>
      <c r="AH8" s="32">
        <f>SUM(AI8,AJ8)</f>
        <v>25</v>
      </c>
      <c r="AI8" s="32">
        <f t="shared" ref="AI8:AI27" si="2">COUNTIF(D8:AF8,AI$6)</f>
        <v>25</v>
      </c>
      <c r="AJ8" s="33">
        <f t="shared" ref="AJ8:AJ27" si="3">COUNTIF(E8:AG8,AJ$6)</f>
        <v>0</v>
      </c>
    </row>
    <row r="9" spans="1:38" ht="25.8" x14ac:dyDescent="0.5">
      <c r="B9" s="30">
        <v>3428</v>
      </c>
      <c r="C9" s="31" t="s">
        <v>5</v>
      </c>
      <c r="D9" s="32" t="s">
        <v>70</v>
      </c>
      <c r="E9" s="32" t="s">
        <v>70</v>
      </c>
      <c r="F9" s="32" t="s">
        <v>70</v>
      </c>
      <c r="G9" s="32"/>
      <c r="H9" s="32" t="s">
        <v>70</v>
      </c>
      <c r="I9" s="32" t="s">
        <v>70</v>
      </c>
      <c r="J9" s="32" t="s">
        <v>70</v>
      </c>
      <c r="K9" s="32" t="s">
        <v>70</v>
      </c>
      <c r="L9" s="32" t="s">
        <v>70</v>
      </c>
      <c r="M9" s="32" t="s">
        <v>71</v>
      </c>
      <c r="N9" s="32"/>
      <c r="O9" s="32" t="s">
        <v>71</v>
      </c>
      <c r="P9" s="32" t="s">
        <v>70</v>
      </c>
      <c r="Q9" s="32" t="s">
        <v>70</v>
      </c>
      <c r="R9" s="32" t="s">
        <v>70</v>
      </c>
      <c r="S9" s="32" t="s">
        <v>70</v>
      </c>
      <c r="T9" s="32" t="s">
        <v>70</v>
      </c>
      <c r="U9" s="32"/>
      <c r="V9" s="32" t="s">
        <v>70</v>
      </c>
      <c r="W9" s="32" t="s">
        <v>70</v>
      </c>
      <c r="X9" s="32" t="s">
        <v>70</v>
      </c>
      <c r="Y9" s="32" t="s">
        <v>70</v>
      </c>
      <c r="Z9" s="32" t="s">
        <v>70</v>
      </c>
      <c r="AA9" s="32" t="s">
        <v>70</v>
      </c>
      <c r="AB9" s="32"/>
      <c r="AC9" s="32" t="s">
        <v>70</v>
      </c>
      <c r="AD9" s="32" t="s">
        <v>70</v>
      </c>
      <c r="AE9" s="32" t="s">
        <v>70</v>
      </c>
      <c r="AF9" s="32" t="s">
        <v>70</v>
      </c>
      <c r="AG9" s="28"/>
      <c r="AH9" s="32">
        <f t="shared" ref="AH9:AH27" si="4">SUM(AI9,AJ9)</f>
        <v>25</v>
      </c>
      <c r="AI9" s="32">
        <f t="shared" si="2"/>
        <v>23</v>
      </c>
      <c r="AJ9" s="33">
        <f t="shared" si="3"/>
        <v>2</v>
      </c>
    </row>
    <row r="10" spans="1:38" ht="25.8" x14ac:dyDescent="0.5">
      <c r="B10" s="30">
        <v>3429</v>
      </c>
      <c r="C10" s="31" t="s">
        <v>6</v>
      </c>
      <c r="D10" s="32" t="s">
        <v>70</v>
      </c>
      <c r="E10" s="32" t="s">
        <v>70</v>
      </c>
      <c r="F10" s="32" t="s">
        <v>70</v>
      </c>
      <c r="G10" s="32"/>
      <c r="H10" s="32" t="s">
        <v>70</v>
      </c>
      <c r="I10" s="32" t="s">
        <v>70</v>
      </c>
      <c r="J10" s="32" t="s">
        <v>70</v>
      </c>
      <c r="K10" s="32" t="s">
        <v>70</v>
      </c>
      <c r="L10" s="32" t="s">
        <v>70</v>
      </c>
      <c r="M10" s="32" t="s">
        <v>70</v>
      </c>
      <c r="N10" s="32"/>
      <c r="O10" s="32" t="s">
        <v>70</v>
      </c>
      <c r="P10" s="32" t="s">
        <v>70</v>
      </c>
      <c r="Q10" s="32" t="s">
        <v>70</v>
      </c>
      <c r="R10" s="32" t="s">
        <v>70</v>
      </c>
      <c r="S10" s="32" t="s">
        <v>70</v>
      </c>
      <c r="T10" s="32" t="s">
        <v>70</v>
      </c>
      <c r="U10" s="32"/>
      <c r="V10" s="32" t="s">
        <v>70</v>
      </c>
      <c r="W10" s="32" t="s">
        <v>70</v>
      </c>
      <c r="X10" s="32" t="s">
        <v>70</v>
      </c>
      <c r="Y10" s="32" t="s">
        <v>70</v>
      </c>
      <c r="Z10" s="32" t="s">
        <v>70</v>
      </c>
      <c r="AA10" s="32" t="s">
        <v>70</v>
      </c>
      <c r="AB10" s="32"/>
      <c r="AC10" s="32" t="s">
        <v>70</v>
      </c>
      <c r="AD10" s="32" t="s">
        <v>70</v>
      </c>
      <c r="AE10" s="32" t="s">
        <v>70</v>
      </c>
      <c r="AF10" s="32" t="s">
        <v>70</v>
      </c>
      <c r="AG10" s="28"/>
      <c r="AH10" s="32">
        <f t="shared" si="4"/>
        <v>25</v>
      </c>
      <c r="AI10" s="32">
        <f t="shared" si="2"/>
        <v>25</v>
      </c>
      <c r="AJ10" s="33">
        <f t="shared" si="3"/>
        <v>0</v>
      </c>
    </row>
    <row r="11" spans="1:38" ht="25.8" x14ac:dyDescent="0.5">
      <c r="B11" s="30">
        <v>3430</v>
      </c>
      <c r="C11" s="31" t="s">
        <v>7</v>
      </c>
      <c r="D11" s="32" t="s">
        <v>70</v>
      </c>
      <c r="E11" s="32" t="s">
        <v>70</v>
      </c>
      <c r="F11" s="32" t="s">
        <v>70</v>
      </c>
      <c r="G11" s="32"/>
      <c r="H11" s="32" t="s">
        <v>70</v>
      </c>
      <c r="I11" s="32" t="s">
        <v>70</v>
      </c>
      <c r="J11" s="32" t="s">
        <v>70</v>
      </c>
      <c r="K11" s="32" t="s">
        <v>70</v>
      </c>
      <c r="L11" s="32" t="s">
        <v>70</v>
      </c>
      <c r="M11" s="32" t="s">
        <v>70</v>
      </c>
      <c r="N11" s="32"/>
      <c r="O11" s="32" t="s">
        <v>70</v>
      </c>
      <c r="P11" s="32" t="s">
        <v>70</v>
      </c>
      <c r="Q11" s="32" t="s">
        <v>70</v>
      </c>
      <c r="R11" s="32" t="s">
        <v>70</v>
      </c>
      <c r="S11" s="32" t="s">
        <v>70</v>
      </c>
      <c r="T11" s="32" t="s">
        <v>70</v>
      </c>
      <c r="U11" s="32"/>
      <c r="V11" s="32" t="s">
        <v>70</v>
      </c>
      <c r="W11" s="32" t="s">
        <v>70</v>
      </c>
      <c r="X11" s="32" t="s">
        <v>70</v>
      </c>
      <c r="Y11" s="32" t="s">
        <v>70</v>
      </c>
      <c r="Z11" s="32" t="s">
        <v>70</v>
      </c>
      <c r="AA11" s="32" t="s">
        <v>70</v>
      </c>
      <c r="AB11" s="32"/>
      <c r="AC11" s="32" t="s">
        <v>70</v>
      </c>
      <c r="AD11" s="32" t="s">
        <v>70</v>
      </c>
      <c r="AE11" s="32" t="s">
        <v>70</v>
      </c>
      <c r="AF11" s="32" t="s">
        <v>70</v>
      </c>
      <c r="AG11" s="28"/>
      <c r="AH11" s="32">
        <f t="shared" si="4"/>
        <v>25</v>
      </c>
      <c r="AI11" s="32">
        <f t="shared" si="2"/>
        <v>25</v>
      </c>
      <c r="AJ11" s="33">
        <f t="shared" si="3"/>
        <v>0</v>
      </c>
    </row>
    <row r="12" spans="1:38" ht="25.8" x14ac:dyDescent="0.5">
      <c r="B12" s="30">
        <v>3431</v>
      </c>
      <c r="C12" s="31" t="s">
        <v>8</v>
      </c>
      <c r="D12" s="32" t="s">
        <v>70</v>
      </c>
      <c r="E12" s="32" t="s">
        <v>70</v>
      </c>
      <c r="F12" s="32" t="s">
        <v>70</v>
      </c>
      <c r="G12" s="32"/>
      <c r="H12" s="32" t="s">
        <v>70</v>
      </c>
      <c r="I12" s="32" t="s">
        <v>70</v>
      </c>
      <c r="J12" s="32" t="s">
        <v>70</v>
      </c>
      <c r="K12" s="32" t="s">
        <v>71</v>
      </c>
      <c r="L12" s="32" t="s">
        <v>70</v>
      </c>
      <c r="M12" s="32" t="s">
        <v>70</v>
      </c>
      <c r="N12" s="32"/>
      <c r="O12" s="32" t="s">
        <v>70</v>
      </c>
      <c r="P12" s="32" t="s">
        <v>70</v>
      </c>
      <c r="Q12" s="32" t="s">
        <v>71</v>
      </c>
      <c r="R12" s="32" t="s">
        <v>70</v>
      </c>
      <c r="S12" s="32" t="s">
        <v>70</v>
      </c>
      <c r="T12" s="32" t="s">
        <v>70</v>
      </c>
      <c r="U12" s="32"/>
      <c r="V12" s="32" t="s">
        <v>70</v>
      </c>
      <c r="W12" s="32" t="s">
        <v>70</v>
      </c>
      <c r="X12" s="32" t="s">
        <v>70</v>
      </c>
      <c r="Y12" s="32" t="s">
        <v>71</v>
      </c>
      <c r="Z12" s="32" t="s">
        <v>70</v>
      </c>
      <c r="AA12" s="32" t="s">
        <v>70</v>
      </c>
      <c r="AB12" s="32"/>
      <c r="AC12" s="32" t="s">
        <v>70</v>
      </c>
      <c r="AD12" s="32" t="s">
        <v>70</v>
      </c>
      <c r="AE12" s="32" t="s">
        <v>70</v>
      </c>
      <c r="AF12" s="32" t="s">
        <v>70</v>
      </c>
      <c r="AG12" s="28"/>
      <c r="AH12" s="32">
        <f t="shared" si="4"/>
        <v>25</v>
      </c>
      <c r="AI12" s="32">
        <f t="shared" si="2"/>
        <v>22</v>
      </c>
      <c r="AJ12" s="33">
        <f t="shared" si="3"/>
        <v>3</v>
      </c>
    </row>
    <row r="13" spans="1:38" ht="25.8" x14ac:dyDescent="0.5">
      <c r="B13" s="30">
        <v>3432</v>
      </c>
      <c r="C13" s="31" t="s">
        <v>9</v>
      </c>
      <c r="D13" s="32" t="s">
        <v>70</v>
      </c>
      <c r="E13" s="32" t="s">
        <v>70</v>
      </c>
      <c r="F13" s="32" t="s">
        <v>70</v>
      </c>
      <c r="G13" s="32"/>
      <c r="H13" s="32" t="s">
        <v>70</v>
      </c>
      <c r="I13" s="32" t="s">
        <v>70</v>
      </c>
      <c r="J13" s="32" t="s">
        <v>70</v>
      </c>
      <c r="K13" s="32" t="s">
        <v>70</v>
      </c>
      <c r="L13" s="32" t="s">
        <v>70</v>
      </c>
      <c r="M13" s="32" t="s">
        <v>70</v>
      </c>
      <c r="N13" s="32"/>
      <c r="O13" s="32" t="s">
        <v>70</v>
      </c>
      <c r="P13" s="32" t="s">
        <v>70</v>
      </c>
      <c r="Q13" s="32" t="s">
        <v>70</v>
      </c>
      <c r="R13" s="32" t="s">
        <v>70</v>
      </c>
      <c r="S13" s="32" t="s">
        <v>70</v>
      </c>
      <c r="T13" s="32" t="s">
        <v>70</v>
      </c>
      <c r="U13" s="32"/>
      <c r="V13" s="32" t="s">
        <v>70</v>
      </c>
      <c r="W13" s="32" t="s">
        <v>70</v>
      </c>
      <c r="X13" s="32" t="s">
        <v>70</v>
      </c>
      <c r="Y13" s="32" t="s">
        <v>70</v>
      </c>
      <c r="Z13" s="32" t="s">
        <v>70</v>
      </c>
      <c r="AA13" s="32" t="s">
        <v>70</v>
      </c>
      <c r="AB13" s="32"/>
      <c r="AC13" s="32" t="s">
        <v>70</v>
      </c>
      <c r="AD13" s="32" t="s">
        <v>70</v>
      </c>
      <c r="AE13" s="32" t="s">
        <v>70</v>
      </c>
      <c r="AF13" s="32" t="s">
        <v>70</v>
      </c>
      <c r="AG13" s="28"/>
      <c r="AH13" s="32">
        <f t="shared" si="4"/>
        <v>25</v>
      </c>
      <c r="AI13" s="32">
        <f t="shared" si="2"/>
        <v>25</v>
      </c>
      <c r="AJ13" s="33">
        <f t="shared" si="3"/>
        <v>0</v>
      </c>
    </row>
    <row r="14" spans="1:38" ht="25.8" x14ac:dyDescent="0.5">
      <c r="B14" s="30">
        <v>3433</v>
      </c>
      <c r="C14" s="31" t="s">
        <v>10</v>
      </c>
      <c r="D14" s="32" t="s">
        <v>70</v>
      </c>
      <c r="E14" s="32" t="s">
        <v>70</v>
      </c>
      <c r="F14" s="32" t="s">
        <v>70</v>
      </c>
      <c r="G14" s="32"/>
      <c r="H14" s="32" t="s">
        <v>71</v>
      </c>
      <c r="I14" s="32" t="s">
        <v>70</v>
      </c>
      <c r="J14" s="32" t="s">
        <v>70</v>
      </c>
      <c r="K14" s="32" t="s">
        <v>70</v>
      </c>
      <c r="L14" s="32" t="s">
        <v>70</v>
      </c>
      <c r="M14" s="32" t="s">
        <v>70</v>
      </c>
      <c r="N14" s="32"/>
      <c r="O14" s="32" t="s">
        <v>70</v>
      </c>
      <c r="P14" s="32" t="s">
        <v>70</v>
      </c>
      <c r="Q14" s="32" t="s">
        <v>70</v>
      </c>
      <c r="R14" s="32" t="s">
        <v>70</v>
      </c>
      <c r="S14" s="32" t="s">
        <v>70</v>
      </c>
      <c r="T14" s="32" t="s">
        <v>70</v>
      </c>
      <c r="U14" s="32"/>
      <c r="V14" s="32" t="s">
        <v>70</v>
      </c>
      <c r="W14" s="32" t="s">
        <v>70</v>
      </c>
      <c r="X14" s="32" t="s">
        <v>70</v>
      </c>
      <c r="Y14" s="32" t="s">
        <v>70</v>
      </c>
      <c r="Z14" s="32" t="s">
        <v>70</v>
      </c>
      <c r="AA14" s="32" t="s">
        <v>70</v>
      </c>
      <c r="AB14" s="32"/>
      <c r="AC14" s="32" t="s">
        <v>70</v>
      </c>
      <c r="AD14" s="32" t="s">
        <v>70</v>
      </c>
      <c r="AE14" s="32" t="s">
        <v>70</v>
      </c>
      <c r="AF14" s="32" t="s">
        <v>70</v>
      </c>
      <c r="AG14" s="28"/>
      <c r="AH14" s="32">
        <f t="shared" si="4"/>
        <v>25</v>
      </c>
      <c r="AI14" s="32">
        <f t="shared" si="2"/>
        <v>24</v>
      </c>
      <c r="AJ14" s="33">
        <f t="shared" si="3"/>
        <v>1</v>
      </c>
    </row>
    <row r="15" spans="1:38" ht="25.8" x14ac:dyDescent="0.5">
      <c r="B15" s="30">
        <v>3434</v>
      </c>
      <c r="C15" s="31" t="s">
        <v>11</v>
      </c>
      <c r="D15" s="32" t="s">
        <v>70</v>
      </c>
      <c r="E15" s="32" t="s">
        <v>70</v>
      </c>
      <c r="F15" s="32" t="s">
        <v>70</v>
      </c>
      <c r="G15" s="32"/>
      <c r="H15" s="32" t="s">
        <v>70</v>
      </c>
      <c r="I15" s="32" t="s">
        <v>70</v>
      </c>
      <c r="J15" s="32" t="s">
        <v>70</v>
      </c>
      <c r="K15" s="32" t="s">
        <v>70</v>
      </c>
      <c r="L15" s="32" t="s">
        <v>70</v>
      </c>
      <c r="M15" s="32" t="s">
        <v>70</v>
      </c>
      <c r="N15" s="32"/>
      <c r="O15" s="32" t="s">
        <v>70</v>
      </c>
      <c r="P15" s="32" t="s">
        <v>70</v>
      </c>
      <c r="Q15" s="32" t="s">
        <v>70</v>
      </c>
      <c r="R15" s="32" t="s">
        <v>70</v>
      </c>
      <c r="S15" s="32" t="s">
        <v>70</v>
      </c>
      <c r="T15" s="32" t="s">
        <v>70</v>
      </c>
      <c r="U15" s="32"/>
      <c r="V15" s="32" t="s">
        <v>70</v>
      </c>
      <c r="W15" s="32" t="s">
        <v>70</v>
      </c>
      <c r="X15" s="32" t="s">
        <v>70</v>
      </c>
      <c r="Y15" s="32" t="s">
        <v>70</v>
      </c>
      <c r="Z15" s="32" t="s">
        <v>70</v>
      </c>
      <c r="AA15" s="32" t="s">
        <v>70</v>
      </c>
      <c r="AB15" s="32"/>
      <c r="AC15" s="32" t="s">
        <v>70</v>
      </c>
      <c r="AD15" s="32" t="s">
        <v>70</v>
      </c>
      <c r="AE15" s="32" t="s">
        <v>70</v>
      </c>
      <c r="AF15" s="32" t="s">
        <v>70</v>
      </c>
      <c r="AG15" s="28"/>
      <c r="AH15" s="32">
        <f t="shared" si="4"/>
        <v>25</v>
      </c>
      <c r="AI15" s="32">
        <f t="shared" si="2"/>
        <v>25</v>
      </c>
      <c r="AJ15" s="33">
        <f t="shared" si="3"/>
        <v>0</v>
      </c>
    </row>
    <row r="16" spans="1:38" ht="25.8" x14ac:dyDescent="0.5">
      <c r="B16" s="30">
        <v>3435</v>
      </c>
      <c r="C16" s="31" t="s">
        <v>12</v>
      </c>
      <c r="D16" s="32" t="s">
        <v>70</v>
      </c>
      <c r="E16" s="32" t="s">
        <v>70</v>
      </c>
      <c r="F16" s="32" t="s">
        <v>70</v>
      </c>
      <c r="G16" s="32"/>
      <c r="H16" s="32" t="s">
        <v>70</v>
      </c>
      <c r="I16" s="32" t="s">
        <v>70</v>
      </c>
      <c r="J16" s="32" t="s">
        <v>70</v>
      </c>
      <c r="K16" s="32" t="s">
        <v>70</v>
      </c>
      <c r="L16" s="32" t="s">
        <v>70</v>
      </c>
      <c r="M16" s="32" t="s">
        <v>70</v>
      </c>
      <c r="N16" s="32"/>
      <c r="O16" s="32" t="s">
        <v>70</v>
      </c>
      <c r="P16" s="32" t="s">
        <v>70</v>
      </c>
      <c r="Q16" s="32" t="s">
        <v>70</v>
      </c>
      <c r="R16" s="32" t="s">
        <v>70</v>
      </c>
      <c r="S16" s="32" t="s">
        <v>70</v>
      </c>
      <c r="T16" s="32" t="s">
        <v>70</v>
      </c>
      <c r="U16" s="32"/>
      <c r="V16" s="32" t="s">
        <v>70</v>
      </c>
      <c r="W16" s="32" t="s">
        <v>70</v>
      </c>
      <c r="X16" s="32" t="s">
        <v>70</v>
      </c>
      <c r="Y16" s="32" t="s">
        <v>70</v>
      </c>
      <c r="Z16" s="32" t="s">
        <v>70</v>
      </c>
      <c r="AA16" s="32" t="s">
        <v>70</v>
      </c>
      <c r="AB16" s="32"/>
      <c r="AC16" s="32" t="s">
        <v>70</v>
      </c>
      <c r="AD16" s="32" t="s">
        <v>70</v>
      </c>
      <c r="AE16" s="32" t="s">
        <v>70</v>
      </c>
      <c r="AF16" s="32" t="s">
        <v>70</v>
      </c>
      <c r="AG16" s="28"/>
      <c r="AH16" s="32">
        <f t="shared" si="4"/>
        <v>25</v>
      </c>
      <c r="AI16" s="32">
        <f t="shared" si="2"/>
        <v>25</v>
      </c>
      <c r="AJ16" s="33">
        <f t="shared" si="3"/>
        <v>0</v>
      </c>
    </row>
    <row r="17" spans="2:36" ht="25.8" x14ac:dyDescent="0.5">
      <c r="B17" s="30">
        <v>3436</v>
      </c>
      <c r="C17" s="31" t="s">
        <v>13</v>
      </c>
      <c r="D17" s="32" t="s">
        <v>70</v>
      </c>
      <c r="E17" s="32" t="s">
        <v>70</v>
      </c>
      <c r="F17" s="32" t="s">
        <v>70</v>
      </c>
      <c r="G17" s="32"/>
      <c r="H17" s="32" t="s">
        <v>70</v>
      </c>
      <c r="I17" s="32" t="s">
        <v>70</v>
      </c>
      <c r="J17" s="32" t="s">
        <v>70</v>
      </c>
      <c r="K17" s="32" t="s">
        <v>70</v>
      </c>
      <c r="L17" s="32" t="s">
        <v>70</v>
      </c>
      <c r="M17" s="32" t="s">
        <v>70</v>
      </c>
      <c r="N17" s="32"/>
      <c r="O17" s="32" t="s">
        <v>70</v>
      </c>
      <c r="P17" s="32" t="s">
        <v>70</v>
      </c>
      <c r="Q17" s="32" t="s">
        <v>70</v>
      </c>
      <c r="R17" s="32" t="s">
        <v>70</v>
      </c>
      <c r="S17" s="32" t="s">
        <v>71</v>
      </c>
      <c r="T17" s="32" t="s">
        <v>70</v>
      </c>
      <c r="U17" s="32"/>
      <c r="V17" s="32" t="s">
        <v>70</v>
      </c>
      <c r="W17" s="32" t="s">
        <v>70</v>
      </c>
      <c r="X17" s="32" t="s">
        <v>70</v>
      </c>
      <c r="Y17" s="32" t="s">
        <v>71</v>
      </c>
      <c r="Z17" s="32" t="s">
        <v>70</v>
      </c>
      <c r="AA17" s="32" t="s">
        <v>70</v>
      </c>
      <c r="AB17" s="32"/>
      <c r="AC17" s="32" t="s">
        <v>70</v>
      </c>
      <c r="AD17" s="32" t="s">
        <v>70</v>
      </c>
      <c r="AE17" s="32" t="s">
        <v>70</v>
      </c>
      <c r="AF17" s="32" t="s">
        <v>70</v>
      </c>
      <c r="AG17" s="28"/>
      <c r="AH17" s="32">
        <f t="shared" si="4"/>
        <v>25</v>
      </c>
      <c r="AI17" s="32">
        <f t="shared" si="2"/>
        <v>23</v>
      </c>
      <c r="AJ17" s="33">
        <f t="shared" si="3"/>
        <v>2</v>
      </c>
    </row>
    <row r="18" spans="2:36" ht="25.8" x14ac:dyDescent="0.5">
      <c r="B18" s="30">
        <v>3437</v>
      </c>
      <c r="C18" s="31" t="s">
        <v>14</v>
      </c>
      <c r="D18" s="32" t="s">
        <v>70</v>
      </c>
      <c r="E18" s="32" t="s">
        <v>70</v>
      </c>
      <c r="F18" s="32" t="s">
        <v>70</v>
      </c>
      <c r="G18" s="32"/>
      <c r="H18" s="32" t="s">
        <v>70</v>
      </c>
      <c r="I18" s="32" t="s">
        <v>70</v>
      </c>
      <c r="J18" s="32" t="s">
        <v>70</v>
      </c>
      <c r="K18" s="32" t="s">
        <v>70</v>
      </c>
      <c r="L18" s="32" t="s">
        <v>70</v>
      </c>
      <c r="M18" s="32" t="s">
        <v>70</v>
      </c>
      <c r="N18" s="32"/>
      <c r="O18" s="32" t="s">
        <v>70</v>
      </c>
      <c r="P18" s="32" t="s">
        <v>70</v>
      </c>
      <c r="Q18" s="32" t="s">
        <v>70</v>
      </c>
      <c r="R18" s="32" t="s">
        <v>70</v>
      </c>
      <c r="S18" s="32" t="s">
        <v>70</v>
      </c>
      <c r="T18" s="32" t="s">
        <v>70</v>
      </c>
      <c r="U18" s="32"/>
      <c r="V18" s="32" t="s">
        <v>70</v>
      </c>
      <c r="W18" s="32" t="s">
        <v>70</v>
      </c>
      <c r="X18" s="32" t="s">
        <v>70</v>
      </c>
      <c r="Y18" s="32" t="s">
        <v>70</v>
      </c>
      <c r="Z18" s="32" t="s">
        <v>70</v>
      </c>
      <c r="AA18" s="32" t="s">
        <v>70</v>
      </c>
      <c r="AB18" s="32"/>
      <c r="AC18" s="32" t="s">
        <v>70</v>
      </c>
      <c r="AD18" s="32" t="s">
        <v>70</v>
      </c>
      <c r="AE18" s="32" t="s">
        <v>70</v>
      </c>
      <c r="AF18" s="32" t="s">
        <v>70</v>
      </c>
      <c r="AG18" s="28"/>
      <c r="AH18" s="32">
        <f t="shared" si="4"/>
        <v>25</v>
      </c>
      <c r="AI18" s="32">
        <f t="shared" si="2"/>
        <v>25</v>
      </c>
      <c r="AJ18" s="33">
        <f t="shared" si="3"/>
        <v>0</v>
      </c>
    </row>
    <row r="19" spans="2:36" ht="25.8" x14ac:dyDescent="0.5">
      <c r="B19" s="30">
        <v>3438</v>
      </c>
      <c r="C19" s="31" t="s">
        <v>15</v>
      </c>
      <c r="D19" s="32" t="s">
        <v>70</v>
      </c>
      <c r="E19" s="32" t="s">
        <v>70</v>
      </c>
      <c r="F19" s="32" t="s">
        <v>70</v>
      </c>
      <c r="G19" s="32"/>
      <c r="H19" s="32" t="s">
        <v>70</v>
      </c>
      <c r="I19" s="32" t="s">
        <v>70</v>
      </c>
      <c r="J19" s="32" t="s">
        <v>70</v>
      </c>
      <c r="K19" s="32" t="s">
        <v>70</v>
      </c>
      <c r="L19" s="32" t="s">
        <v>70</v>
      </c>
      <c r="M19" s="32" t="s">
        <v>70</v>
      </c>
      <c r="N19" s="32"/>
      <c r="O19" s="32" t="s">
        <v>70</v>
      </c>
      <c r="P19" s="32" t="s">
        <v>70</v>
      </c>
      <c r="Q19" s="32" t="s">
        <v>70</v>
      </c>
      <c r="R19" s="32" t="s">
        <v>70</v>
      </c>
      <c r="S19" s="32" t="s">
        <v>70</v>
      </c>
      <c r="T19" s="32" t="s">
        <v>70</v>
      </c>
      <c r="U19" s="32"/>
      <c r="V19" s="32" t="s">
        <v>70</v>
      </c>
      <c r="W19" s="32" t="s">
        <v>70</v>
      </c>
      <c r="X19" s="32" t="s">
        <v>70</v>
      </c>
      <c r="Y19" s="32" t="s">
        <v>70</v>
      </c>
      <c r="Z19" s="32" t="s">
        <v>70</v>
      </c>
      <c r="AA19" s="32" t="s">
        <v>70</v>
      </c>
      <c r="AB19" s="32"/>
      <c r="AC19" s="32" t="s">
        <v>70</v>
      </c>
      <c r="AD19" s="32" t="s">
        <v>70</v>
      </c>
      <c r="AE19" s="32" t="s">
        <v>70</v>
      </c>
      <c r="AF19" s="32" t="s">
        <v>70</v>
      </c>
      <c r="AG19" s="28"/>
      <c r="AH19" s="32">
        <f t="shared" si="4"/>
        <v>25</v>
      </c>
      <c r="AI19" s="32">
        <f t="shared" si="2"/>
        <v>25</v>
      </c>
      <c r="AJ19" s="33">
        <f t="shared" si="3"/>
        <v>0</v>
      </c>
    </row>
    <row r="20" spans="2:36" ht="25.8" x14ac:dyDescent="0.5">
      <c r="B20" s="30">
        <v>3439</v>
      </c>
      <c r="C20" s="31" t="s">
        <v>16</v>
      </c>
      <c r="D20" s="32" t="s">
        <v>70</v>
      </c>
      <c r="E20" s="32" t="s">
        <v>70</v>
      </c>
      <c r="F20" s="32" t="s">
        <v>70</v>
      </c>
      <c r="G20" s="32"/>
      <c r="H20" s="32" t="s">
        <v>70</v>
      </c>
      <c r="I20" s="32" t="s">
        <v>70</v>
      </c>
      <c r="J20" s="32" t="s">
        <v>70</v>
      </c>
      <c r="K20" s="32" t="s">
        <v>71</v>
      </c>
      <c r="L20" s="32" t="s">
        <v>70</v>
      </c>
      <c r="M20" s="32" t="s">
        <v>70</v>
      </c>
      <c r="N20" s="32"/>
      <c r="O20" s="32" t="s">
        <v>70</v>
      </c>
      <c r="P20" s="32" t="s">
        <v>70</v>
      </c>
      <c r="Q20" s="32" t="s">
        <v>70</v>
      </c>
      <c r="R20" s="32" t="s">
        <v>70</v>
      </c>
      <c r="S20" s="32" t="s">
        <v>70</v>
      </c>
      <c r="T20" s="32" t="s">
        <v>70</v>
      </c>
      <c r="U20" s="32"/>
      <c r="V20" s="32" t="s">
        <v>70</v>
      </c>
      <c r="W20" s="32" t="s">
        <v>71</v>
      </c>
      <c r="X20" s="32" t="s">
        <v>70</v>
      </c>
      <c r="Y20" s="32" t="s">
        <v>70</v>
      </c>
      <c r="Z20" s="32" t="s">
        <v>70</v>
      </c>
      <c r="AA20" s="32" t="s">
        <v>70</v>
      </c>
      <c r="AB20" s="32"/>
      <c r="AC20" s="32" t="s">
        <v>70</v>
      </c>
      <c r="AD20" s="32" t="s">
        <v>70</v>
      </c>
      <c r="AE20" s="32" t="s">
        <v>70</v>
      </c>
      <c r="AF20" s="32" t="s">
        <v>70</v>
      </c>
      <c r="AG20" s="28"/>
      <c r="AH20" s="32">
        <f t="shared" si="4"/>
        <v>25</v>
      </c>
      <c r="AI20" s="32">
        <f t="shared" si="2"/>
        <v>23</v>
      </c>
      <c r="AJ20" s="33">
        <f t="shared" si="3"/>
        <v>2</v>
      </c>
    </row>
    <row r="21" spans="2:36" ht="25.8" x14ac:dyDescent="0.5">
      <c r="B21" s="30">
        <v>3440</v>
      </c>
      <c r="C21" s="31" t="s">
        <v>17</v>
      </c>
      <c r="D21" s="32" t="s">
        <v>70</v>
      </c>
      <c r="E21" s="32" t="s">
        <v>70</v>
      </c>
      <c r="F21" s="32" t="s">
        <v>70</v>
      </c>
      <c r="G21" s="32"/>
      <c r="H21" s="32" t="s">
        <v>70</v>
      </c>
      <c r="I21" s="32" t="s">
        <v>70</v>
      </c>
      <c r="J21" s="32" t="s">
        <v>70</v>
      </c>
      <c r="K21" s="32" t="s">
        <v>70</v>
      </c>
      <c r="L21" s="32" t="s">
        <v>70</v>
      </c>
      <c r="M21" s="32" t="s">
        <v>70</v>
      </c>
      <c r="N21" s="32"/>
      <c r="O21" s="32" t="s">
        <v>70</v>
      </c>
      <c r="P21" s="32" t="s">
        <v>70</v>
      </c>
      <c r="Q21" s="32" t="s">
        <v>70</v>
      </c>
      <c r="R21" s="32" t="s">
        <v>70</v>
      </c>
      <c r="S21" s="32" t="s">
        <v>70</v>
      </c>
      <c r="T21" s="32" t="s">
        <v>70</v>
      </c>
      <c r="U21" s="32"/>
      <c r="V21" s="32" t="s">
        <v>70</v>
      </c>
      <c r="W21" s="32" t="s">
        <v>70</v>
      </c>
      <c r="X21" s="32" t="s">
        <v>70</v>
      </c>
      <c r="Y21" s="32" t="s">
        <v>70</v>
      </c>
      <c r="Z21" s="32" t="s">
        <v>70</v>
      </c>
      <c r="AA21" s="32" t="s">
        <v>70</v>
      </c>
      <c r="AB21" s="32"/>
      <c r="AC21" s="32" t="s">
        <v>70</v>
      </c>
      <c r="AD21" s="32" t="s">
        <v>70</v>
      </c>
      <c r="AE21" s="32" t="s">
        <v>70</v>
      </c>
      <c r="AF21" s="32" t="s">
        <v>70</v>
      </c>
      <c r="AG21" s="28"/>
      <c r="AH21" s="32">
        <f t="shared" si="4"/>
        <v>25</v>
      </c>
      <c r="AI21" s="32">
        <f t="shared" si="2"/>
        <v>25</v>
      </c>
      <c r="AJ21" s="33">
        <f t="shared" si="3"/>
        <v>0</v>
      </c>
    </row>
    <row r="22" spans="2:36" ht="25.8" x14ac:dyDescent="0.5">
      <c r="B22" s="30">
        <v>3441</v>
      </c>
      <c r="C22" s="31" t="s">
        <v>18</v>
      </c>
      <c r="D22" s="32" t="s">
        <v>70</v>
      </c>
      <c r="E22" s="32" t="s">
        <v>70</v>
      </c>
      <c r="F22" s="32" t="s">
        <v>70</v>
      </c>
      <c r="G22" s="32"/>
      <c r="H22" s="32" t="s">
        <v>70</v>
      </c>
      <c r="I22" s="32" t="s">
        <v>70</v>
      </c>
      <c r="J22" s="32" t="s">
        <v>70</v>
      </c>
      <c r="K22" s="32" t="s">
        <v>70</v>
      </c>
      <c r="L22" s="32" t="s">
        <v>70</v>
      </c>
      <c r="M22" s="32" t="s">
        <v>70</v>
      </c>
      <c r="N22" s="32"/>
      <c r="O22" s="32" t="s">
        <v>70</v>
      </c>
      <c r="P22" s="32" t="s">
        <v>70</v>
      </c>
      <c r="Q22" s="32" t="s">
        <v>71</v>
      </c>
      <c r="R22" s="32" t="s">
        <v>70</v>
      </c>
      <c r="S22" s="32" t="s">
        <v>70</v>
      </c>
      <c r="T22" s="32" t="s">
        <v>70</v>
      </c>
      <c r="U22" s="32"/>
      <c r="V22" s="32" t="s">
        <v>70</v>
      </c>
      <c r="W22" s="32" t="s">
        <v>70</v>
      </c>
      <c r="X22" s="32" t="s">
        <v>70</v>
      </c>
      <c r="Y22" s="32" t="s">
        <v>70</v>
      </c>
      <c r="Z22" s="32" t="s">
        <v>70</v>
      </c>
      <c r="AA22" s="32" t="s">
        <v>70</v>
      </c>
      <c r="AB22" s="32"/>
      <c r="AC22" s="32" t="s">
        <v>70</v>
      </c>
      <c r="AD22" s="32" t="s">
        <v>70</v>
      </c>
      <c r="AE22" s="32" t="s">
        <v>70</v>
      </c>
      <c r="AF22" s="32" t="s">
        <v>70</v>
      </c>
      <c r="AG22" s="28"/>
      <c r="AH22" s="32">
        <f t="shared" si="4"/>
        <v>25</v>
      </c>
      <c r="AI22" s="32">
        <f t="shared" si="2"/>
        <v>24</v>
      </c>
      <c r="AJ22" s="33">
        <f t="shared" si="3"/>
        <v>1</v>
      </c>
    </row>
    <row r="23" spans="2:36" ht="25.8" x14ac:dyDescent="0.5">
      <c r="B23" s="30">
        <v>3442</v>
      </c>
      <c r="C23" s="31" t="s">
        <v>19</v>
      </c>
      <c r="D23" s="32" t="s">
        <v>70</v>
      </c>
      <c r="E23" s="32" t="s">
        <v>70</v>
      </c>
      <c r="F23" s="32" t="s">
        <v>70</v>
      </c>
      <c r="G23" s="32"/>
      <c r="H23" s="32" t="s">
        <v>70</v>
      </c>
      <c r="I23" s="32" t="s">
        <v>70</v>
      </c>
      <c r="J23" s="32" t="s">
        <v>70</v>
      </c>
      <c r="K23" s="32" t="s">
        <v>70</v>
      </c>
      <c r="L23" s="32" t="s">
        <v>70</v>
      </c>
      <c r="M23" s="32" t="s">
        <v>70</v>
      </c>
      <c r="N23" s="32"/>
      <c r="O23" s="32" t="s">
        <v>70</v>
      </c>
      <c r="P23" s="32" t="s">
        <v>70</v>
      </c>
      <c r="Q23" s="32" t="s">
        <v>70</v>
      </c>
      <c r="R23" s="32" t="s">
        <v>70</v>
      </c>
      <c r="S23" s="32" t="s">
        <v>70</v>
      </c>
      <c r="T23" s="32" t="s">
        <v>70</v>
      </c>
      <c r="U23" s="32"/>
      <c r="V23" s="32" t="s">
        <v>70</v>
      </c>
      <c r="W23" s="32" t="s">
        <v>70</v>
      </c>
      <c r="X23" s="32" t="s">
        <v>70</v>
      </c>
      <c r="Y23" s="32" t="s">
        <v>70</v>
      </c>
      <c r="Z23" s="32" t="s">
        <v>70</v>
      </c>
      <c r="AA23" s="32" t="s">
        <v>70</v>
      </c>
      <c r="AB23" s="32"/>
      <c r="AC23" s="32" t="s">
        <v>70</v>
      </c>
      <c r="AD23" s="32" t="s">
        <v>70</v>
      </c>
      <c r="AE23" s="32" t="s">
        <v>70</v>
      </c>
      <c r="AF23" s="32" t="s">
        <v>70</v>
      </c>
      <c r="AG23" s="28"/>
      <c r="AH23" s="32">
        <f t="shared" si="4"/>
        <v>25</v>
      </c>
      <c r="AI23" s="32">
        <f t="shared" si="2"/>
        <v>25</v>
      </c>
      <c r="AJ23" s="33">
        <f t="shared" si="3"/>
        <v>0</v>
      </c>
    </row>
    <row r="24" spans="2:36" ht="25.8" x14ac:dyDescent="0.5">
      <c r="B24" s="30">
        <v>3443</v>
      </c>
      <c r="C24" s="31" t="s">
        <v>20</v>
      </c>
      <c r="D24" s="32" t="s">
        <v>70</v>
      </c>
      <c r="E24" s="32" t="s">
        <v>70</v>
      </c>
      <c r="F24" s="32" t="s">
        <v>70</v>
      </c>
      <c r="G24" s="32"/>
      <c r="H24" s="32" t="s">
        <v>70</v>
      </c>
      <c r="I24" s="32" t="s">
        <v>70</v>
      </c>
      <c r="J24" s="32" t="s">
        <v>70</v>
      </c>
      <c r="K24" s="32" t="s">
        <v>70</v>
      </c>
      <c r="L24" s="32" t="s">
        <v>70</v>
      </c>
      <c r="M24" s="32" t="s">
        <v>70</v>
      </c>
      <c r="N24" s="32"/>
      <c r="O24" s="32" t="s">
        <v>70</v>
      </c>
      <c r="P24" s="32" t="s">
        <v>70</v>
      </c>
      <c r="Q24" s="32" t="s">
        <v>70</v>
      </c>
      <c r="R24" s="32" t="s">
        <v>70</v>
      </c>
      <c r="S24" s="32" t="s">
        <v>70</v>
      </c>
      <c r="T24" s="32" t="s">
        <v>70</v>
      </c>
      <c r="U24" s="32"/>
      <c r="V24" s="32" t="s">
        <v>70</v>
      </c>
      <c r="W24" s="32" t="s">
        <v>70</v>
      </c>
      <c r="X24" s="32" t="s">
        <v>70</v>
      </c>
      <c r="Y24" s="32" t="s">
        <v>70</v>
      </c>
      <c r="Z24" s="32" t="s">
        <v>70</v>
      </c>
      <c r="AA24" s="32" t="s">
        <v>70</v>
      </c>
      <c r="AB24" s="32"/>
      <c r="AC24" s="32" t="s">
        <v>70</v>
      </c>
      <c r="AD24" s="32" t="s">
        <v>70</v>
      </c>
      <c r="AE24" s="32" t="s">
        <v>70</v>
      </c>
      <c r="AF24" s="32" t="s">
        <v>70</v>
      </c>
      <c r="AG24" s="28"/>
      <c r="AH24" s="32">
        <f t="shared" si="4"/>
        <v>25</v>
      </c>
      <c r="AI24" s="32">
        <f t="shared" si="2"/>
        <v>25</v>
      </c>
      <c r="AJ24" s="33">
        <f t="shared" si="3"/>
        <v>0</v>
      </c>
    </row>
    <row r="25" spans="2:36" ht="25.8" x14ac:dyDescent="0.5">
      <c r="B25" s="30">
        <v>3444</v>
      </c>
      <c r="C25" s="31" t="s">
        <v>21</v>
      </c>
      <c r="D25" s="32" t="s">
        <v>70</v>
      </c>
      <c r="E25" s="32" t="s">
        <v>70</v>
      </c>
      <c r="F25" s="32" t="s">
        <v>70</v>
      </c>
      <c r="G25" s="32"/>
      <c r="H25" s="32" t="s">
        <v>70</v>
      </c>
      <c r="I25" s="32" t="s">
        <v>70</v>
      </c>
      <c r="J25" s="32" t="s">
        <v>70</v>
      </c>
      <c r="K25" s="32" t="s">
        <v>70</v>
      </c>
      <c r="L25" s="32" t="s">
        <v>70</v>
      </c>
      <c r="M25" s="32" t="s">
        <v>70</v>
      </c>
      <c r="N25" s="32"/>
      <c r="O25" s="32" t="s">
        <v>70</v>
      </c>
      <c r="P25" s="32" t="s">
        <v>70</v>
      </c>
      <c r="Q25" s="32" t="s">
        <v>70</v>
      </c>
      <c r="R25" s="32" t="s">
        <v>70</v>
      </c>
      <c r="S25" s="32" t="s">
        <v>70</v>
      </c>
      <c r="T25" s="32" t="s">
        <v>70</v>
      </c>
      <c r="U25" s="32"/>
      <c r="V25" s="32" t="s">
        <v>70</v>
      </c>
      <c r="W25" s="32" t="s">
        <v>70</v>
      </c>
      <c r="X25" s="32" t="s">
        <v>70</v>
      </c>
      <c r="Y25" s="32" t="s">
        <v>70</v>
      </c>
      <c r="Z25" s="32" t="s">
        <v>70</v>
      </c>
      <c r="AA25" s="32" t="s">
        <v>70</v>
      </c>
      <c r="AB25" s="32"/>
      <c r="AC25" s="32" t="s">
        <v>70</v>
      </c>
      <c r="AD25" s="32" t="s">
        <v>70</v>
      </c>
      <c r="AE25" s="32" t="s">
        <v>70</v>
      </c>
      <c r="AF25" s="32" t="s">
        <v>70</v>
      </c>
      <c r="AG25" s="28"/>
      <c r="AH25" s="32">
        <f t="shared" si="4"/>
        <v>25</v>
      </c>
      <c r="AI25" s="32">
        <f t="shared" si="2"/>
        <v>25</v>
      </c>
      <c r="AJ25" s="33">
        <f t="shared" si="3"/>
        <v>0</v>
      </c>
    </row>
    <row r="26" spans="2:36" ht="25.8" x14ac:dyDescent="0.5">
      <c r="B26" s="30">
        <v>3445</v>
      </c>
      <c r="C26" s="31" t="s">
        <v>22</v>
      </c>
      <c r="D26" s="32" t="s">
        <v>70</v>
      </c>
      <c r="E26" s="32" t="s">
        <v>70</v>
      </c>
      <c r="F26" s="32" t="s">
        <v>70</v>
      </c>
      <c r="G26" s="32"/>
      <c r="H26" s="32" t="s">
        <v>70</v>
      </c>
      <c r="I26" s="32" t="s">
        <v>70</v>
      </c>
      <c r="J26" s="32" t="s">
        <v>70</v>
      </c>
      <c r="K26" s="32" t="s">
        <v>70</v>
      </c>
      <c r="L26" s="32" t="s">
        <v>70</v>
      </c>
      <c r="M26" s="32" t="s">
        <v>70</v>
      </c>
      <c r="N26" s="32"/>
      <c r="O26" s="32" t="s">
        <v>70</v>
      </c>
      <c r="P26" s="32" t="s">
        <v>70</v>
      </c>
      <c r="Q26" s="32" t="s">
        <v>70</v>
      </c>
      <c r="R26" s="32" t="s">
        <v>70</v>
      </c>
      <c r="S26" s="32" t="s">
        <v>70</v>
      </c>
      <c r="T26" s="32" t="s">
        <v>70</v>
      </c>
      <c r="U26" s="32"/>
      <c r="V26" s="32" t="s">
        <v>70</v>
      </c>
      <c r="W26" s="32" t="s">
        <v>70</v>
      </c>
      <c r="X26" s="32" t="s">
        <v>70</v>
      </c>
      <c r="Y26" s="32" t="s">
        <v>70</v>
      </c>
      <c r="Z26" s="32" t="s">
        <v>70</v>
      </c>
      <c r="AA26" s="32" t="s">
        <v>70</v>
      </c>
      <c r="AB26" s="32"/>
      <c r="AC26" s="32" t="s">
        <v>70</v>
      </c>
      <c r="AD26" s="32" t="s">
        <v>70</v>
      </c>
      <c r="AE26" s="32" t="s">
        <v>70</v>
      </c>
      <c r="AF26" s="32" t="s">
        <v>70</v>
      </c>
      <c r="AG26" s="28"/>
      <c r="AH26" s="32">
        <f t="shared" si="4"/>
        <v>25</v>
      </c>
      <c r="AI26" s="32">
        <f t="shared" si="2"/>
        <v>25</v>
      </c>
      <c r="AJ26" s="33">
        <f t="shared" si="3"/>
        <v>0</v>
      </c>
    </row>
    <row r="27" spans="2:36" ht="25.8" x14ac:dyDescent="0.5">
      <c r="B27" s="30">
        <v>3446</v>
      </c>
      <c r="C27" s="31" t="s">
        <v>23</v>
      </c>
      <c r="D27" s="32" t="s">
        <v>70</v>
      </c>
      <c r="E27" s="32" t="s">
        <v>70</v>
      </c>
      <c r="F27" s="32" t="s">
        <v>70</v>
      </c>
      <c r="G27" s="32"/>
      <c r="H27" s="32" t="s">
        <v>70</v>
      </c>
      <c r="I27" s="32" t="s">
        <v>70</v>
      </c>
      <c r="J27" s="32" t="s">
        <v>70</v>
      </c>
      <c r="K27" s="32" t="s">
        <v>70</v>
      </c>
      <c r="L27" s="32" t="s">
        <v>70</v>
      </c>
      <c r="M27" s="32" t="s">
        <v>70</v>
      </c>
      <c r="N27" s="32"/>
      <c r="O27" s="32" t="s">
        <v>70</v>
      </c>
      <c r="P27" s="32" t="s">
        <v>70</v>
      </c>
      <c r="Q27" s="32" t="s">
        <v>70</v>
      </c>
      <c r="R27" s="32" t="s">
        <v>70</v>
      </c>
      <c r="S27" s="32" t="s">
        <v>70</v>
      </c>
      <c r="T27" s="32" t="s">
        <v>70</v>
      </c>
      <c r="U27" s="32"/>
      <c r="V27" s="32" t="s">
        <v>70</v>
      </c>
      <c r="W27" s="32" t="s">
        <v>70</v>
      </c>
      <c r="X27" s="32" t="s">
        <v>70</v>
      </c>
      <c r="Y27" s="32" t="s">
        <v>70</v>
      </c>
      <c r="Z27" s="32" t="s">
        <v>70</v>
      </c>
      <c r="AA27" s="32" t="s">
        <v>70</v>
      </c>
      <c r="AB27" s="32"/>
      <c r="AC27" s="32" t="s">
        <v>70</v>
      </c>
      <c r="AD27" s="32" t="s">
        <v>70</v>
      </c>
      <c r="AE27" s="32" t="s">
        <v>70</v>
      </c>
      <c r="AF27" s="32" t="s">
        <v>70</v>
      </c>
      <c r="AG27" s="28"/>
      <c r="AH27" s="32">
        <f t="shared" si="4"/>
        <v>25</v>
      </c>
      <c r="AI27" s="32">
        <f t="shared" si="2"/>
        <v>25</v>
      </c>
      <c r="AJ27" s="33">
        <f t="shared" si="3"/>
        <v>0</v>
      </c>
    </row>
    <row r="28" spans="2:36" ht="15" thickBot="1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5"/>
    </row>
  </sheetData>
  <mergeCells count="7">
    <mergeCell ref="B2:C2"/>
    <mergeCell ref="D2:AL5"/>
    <mergeCell ref="B6:B7"/>
    <mergeCell ref="C6:C7"/>
    <mergeCell ref="AH6:AH7"/>
    <mergeCell ref="AI6:AI7"/>
    <mergeCell ref="AJ6:AJ7"/>
  </mergeCells>
  <conditionalFormatting sqref="D8:AF27">
    <cfRule type="containsText" dxfId="69" priority="1" operator="containsText" text="A">
      <formula>NOT(ISERROR(SEARCH("A",D8)))</formula>
    </cfRule>
    <cfRule type="expression" dxfId="68" priority="5">
      <formula>D$6="Sun"</formula>
    </cfRule>
    <cfRule type="expression" dxfId="67" priority="6">
      <formula>D$6="Sun"</formula>
    </cfRule>
  </conditionalFormatting>
  <conditionalFormatting sqref="D6:AJ7">
    <cfRule type="notContainsBlanks" dxfId="66" priority="2">
      <formula>LEN(TRIM(D6))&gt;0</formula>
    </cfRule>
    <cfRule type="notContainsBlanks" dxfId="65" priority="3">
      <formula>LEN(TRIM(D6))&gt;0</formula>
    </cfRule>
  </conditionalFormatting>
  <conditionalFormatting sqref="D6:AJ27">
    <cfRule type="expression" dxfId="64" priority="4">
      <formula>D$6&lt;&gt;""</formula>
    </cfRule>
  </conditionalFormatting>
  <dataValidations count="4">
    <dataValidation type="custom" allowBlank="1" showInputMessage="1" showErrorMessage="1" errorTitle="Info" error="Week Off" sqref="AG6:AJ27" xr:uid="{00000000-0002-0000-0600-000000000000}">
      <formula1>AG$6&lt;&gt;""</formula1>
    </dataValidation>
    <dataValidation type="list" allowBlank="1" showInputMessage="1" showErrorMessage="1" sqref="C4" xr:uid="{00000000-0002-0000-0600-000001000000}">
      <formula1>"2024"</formula1>
    </dataValidation>
    <dataValidation type="list" allowBlank="1" showInputMessage="1" showErrorMessage="1" sqref="C3" xr:uid="{00000000-0002-0000-0600-000002000000}">
      <formula1>"JANUARY,FEBRUARY,MARCH,APRIL,MAY,JUNE,JULY,AUGUST,SEPTEMBER,NOVEMBER,DECEMBER"</formula1>
    </dataValidation>
    <dataValidation type="custom" allowBlank="1" showInputMessage="1" showErrorMessage="1" errorTitle="Info" error="Week Off" sqref="D6:AF27" xr:uid="{00000000-0002-0000-0600-000003000000}">
      <formula1>D$6&lt;&gt;"Sun"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L28"/>
  <sheetViews>
    <sheetView showGridLines="0" zoomScale="49" zoomScaleNormal="49" workbookViewId="0"/>
  </sheetViews>
  <sheetFormatPr defaultRowHeight="14.4" x14ac:dyDescent="0.3"/>
  <cols>
    <col min="1" max="1" width="38.33203125" customWidth="1"/>
    <col min="2" max="3" width="24.44140625" customWidth="1"/>
    <col min="4" max="34" width="8" customWidth="1"/>
    <col min="35" max="35" width="2.88671875" customWidth="1"/>
    <col min="36" max="36" width="20.44140625" customWidth="1"/>
    <col min="37" max="37" width="9.88671875" customWidth="1"/>
    <col min="38" max="38" width="8.33203125" customWidth="1"/>
  </cols>
  <sheetData>
    <row r="1" spans="1:38" ht="95.25" customHeight="1" thickBot="1" x14ac:dyDescent="0.35"/>
    <row r="2" spans="1:38" ht="56.25" customHeight="1" x14ac:dyDescent="1.3">
      <c r="A2" s="194" t="str">
        <f>HYPERLINK("#'Table Of contents'!B1","GO TO TOC SHEET")</f>
        <v>GO TO TOC SHEET</v>
      </c>
      <c r="B2" s="276" t="s">
        <v>93</v>
      </c>
      <c r="C2" s="277"/>
      <c r="D2" s="271" t="s">
        <v>72</v>
      </c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3"/>
    </row>
    <row r="3" spans="1:38" ht="27.75" customHeight="1" x14ac:dyDescent="0.4">
      <c r="B3" s="11" t="s">
        <v>64</v>
      </c>
      <c r="C3" s="12" t="s">
        <v>74</v>
      </c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5"/>
    </row>
    <row r="4" spans="1:38" ht="36" customHeight="1" x14ac:dyDescent="0.4">
      <c r="B4" s="11" t="s">
        <v>65</v>
      </c>
      <c r="C4" s="12">
        <v>2024</v>
      </c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5"/>
    </row>
    <row r="5" spans="1:38" ht="35.25" customHeight="1" x14ac:dyDescent="0.4">
      <c r="B5" s="19">
        <f>DATEVALUE("1"&amp;C3&amp;C4)</f>
        <v>45352</v>
      </c>
      <c r="C5" s="20">
        <f>EOMONTH(B5,0)</f>
        <v>45382</v>
      </c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5"/>
    </row>
    <row r="6" spans="1:38" ht="58.5" customHeight="1" x14ac:dyDescent="0.4">
      <c r="B6" s="281" t="s">
        <v>2</v>
      </c>
      <c r="C6" s="282" t="s">
        <v>3</v>
      </c>
      <c r="D6" s="16" t="str">
        <f>TEXT(D7,"DDD")</f>
        <v>Fri</v>
      </c>
      <c r="E6" s="16" t="str">
        <f t="shared" ref="E6:AH6" si="0">TEXT(E7,"DDD")</f>
        <v>Sat</v>
      </c>
      <c r="F6" s="16" t="str">
        <f t="shared" si="0"/>
        <v>Sun</v>
      </c>
      <c r="G6" s="16" t="str">
        <f t="shared" si="0"/>
        <v>Mon</v>
      </c>
      <c r="H6" s="16" t="str">
        <f t="shared" si="0"/>
        <v>Tue</v>
      </c>
      <c r="I6" s="16" t="str">
        <f t="shared" si="0"/>
        <v>Wed</v>
      </c>
      <c r="J6" s="16" t="str">
        <f t="shared" si="0"/>
        <v>Thu</v>
      </c>
      <c r="K6" s="16" t="str">
        <f t="shared" si="0"/>
        <v>Fri</v>
      </c>
      <c r="L6" s="16" t="str">
        <f t="shared" si="0"/>
        <v>Sat</v>
      </c>
      <c r="M6" s="16" t="str">
        <f t="shared" si="0"/>
        <v>Sun</v>
      </c>
      <c r="N6" s="16" t="str">
        <f t="shared" si="0"/>
        <v>Mon</v>
      </c>
      <c r="O6" s="16" t="str">
        <f t="shared" si="0"/>
        <v>Tue</v>
      </c>
      <c r="P6" s="16" t="str">
        <f t="shared" si="0"/>
        <v>Wed</v>
      </c>
      <c r="Q6" s="16" t="str">
        <f t="shared" si="0"/>
        <v>Thu</v>
      </c>
      <c r="R6" s="16" t="str">
        <f t="shared" si="0"/>
        <v>Fri</v>
      </c>
      <c r="S6" s="16" t="str">
        <f t="shared" si="0"/>
        <v>Sat</v>
      </c>
      <c r="T6" s="16" t="str">
        <f t="shared" si="0"/>
        <v>Sun</v>
      </c>
      <c r="U6" s="16" t="str">
        <f t="shared" si="0"/>
        <v>Mon</v>
      </c>
      <c r="V6" s="16" t="str">
        <f t="shared" si="0"/>
        <v>Tue</v>
      </c>
      <c r="W6" s="16" t="str">
        <f t="shared" si="0"/>
        <v>Wed</v>
      </c>
      <c r="X6" s="16" t="str">
        <f t="shared" si="0"/>
        <v>Thu</v>
      </c>
      <c r="Y6" s="16" t="str">
        <f t="shared" si="0"/>
        <v>Fri</v>
      </c>
      <c r="Z6" s="16" t="str">
        <f t="shared" si="0"/>
        <v>Sat</v>
      </c>
      <c r="AA6" s="16" t="str">
        <f t="shared" si="0"/>
        <v>Sun</v>
      </c>
      <c r="AB6" s="16" t="str">
        <f t="shared" si="0"/>
        <v>Mon</v>
      </c>
      <c r="AC6" s="16" t="str">
        <f t="shared" si="0"/>
        <v>Tue</v>
      </c>
      <c r="AD6" s="16" t="str">
        <f t="shared" si="0"/>
        <v>Wed</v>
      </c>
      <c r="AE6" s="16" t="str">
        <f t="shared" si="0"/>
        <v>Thu</v>
      </c>
      <c r="AF6" s="16" t="str">
        <f t="shared" si="0"/>
        <v>Fri</v>
      </c>
      <c r="AG6" s="16" t="str">
        <f t="shared" si="0"/>
        <v>Sat</v>
      </c>
      <c r="AH6" s="16" t="str">
        <f t="shared" si="0"/>
        <v>Sun</v>
      </c>
      <c r="AI6" s="17"/>
      <c r="AJ6" s="283" t="s">
        <v>69</v>
      </c>
      <c r="AK6" s="283" t="s">
        <v>70</v>
      </c>
      <c r="AL6" s="284" t="s">
        <v>71</v>
      </c>
    </row>
    <row r="7" spans="1:38" ht="21" x14ac:dyDescent="0.4">
      <c r="B7" s="281"/>
      <c r="C7" s="282"/>
      <c r="D7" s="18">
        <f>B5</f>
        <v>45352</v>
      </c>
      <c r="E7" s="18">
        <f>IFERROR(IF(D7+1&gt;$C$5,"",D7+1),"")</f>
        <v>45353</v>
      </c>
      <c r="F7" s="18">
        <f t="shared" ref="F7:AG7" si="1">IFERROR(IF(E7+1&gt;$C$5,"",E7+1),"")</f>
        <v>45354</v>
      </c>
      <c r="G7" s="18">
        <f t="shared" si="1"/>
        <v>45355</v>
      </c>
      <c r="H7" s="18">
        <f t="shared" si="1"/>
        <v>45356</v>
      </c>
      <c r="I7" s="18">
        <f t="shared" si="1"/>
        <v>45357</v>
      </c>
      <c r="J7" s="18">
        <f t="shared" si="1"/>
        <v>45358</v>
      </c>
      <c r="K7" s="18">
        <f t="shared" si="1"/>
        <v>45359</v>
      </c>
      <c r="L7" s="18">
        <f t="shared" si="1"/>
        <v>45360</v>
      </c>
      <c r="M7" s="18">
        <f t="shared" si="1"/>
        <v>45361</v>
      </c>
      <c r="N7" s="18">
        <f t="shared" si="1"/>
        <v>45362</v>
      </c>
      <c r="O7" s="18">
        <f t="shared" si="1"/>
        <v>45363</v>
      </c>
      <c r="P7" s="18">
        <f t="shared" si="1"/>
        <v>45364</v>
      </c>
      <c r="Q7" s="18">
        <f t="shared" si="1"/>
        <v>45365</v>
      </c>
      <c r="R7" s="18">
        <f t="shared" si="1"/>
        <v>45366</v>
      </c>
      <c r="S7" s="18">
        <f>IFERROR(IF(R7+1&gt;$C$5,"",R7+1),"")</f>
        <v>45367</v>
      </c>
      <c r="T7" s="18">
        <f t="shared" si="1"/>
        <v>45368</v>
      </c>
      <c r="U7" s="18">
        <f t="shared" si="1"/>
        <v>45369</v>
      </c>
      <c r="V7" s="18">
        <f t="shared" si="1"/>
        <v>45370</v>
      </c>
      <c r="W7" s="18">
        <f t="shared" si="1"/>
        <v>45371</v>
      </c>
      <c r="X7" s="18">
        <f t="shared" si="1"/>
        <v>45372</v>
      </c>
      <c r="Y7" s="18">
        <f t="shared" si="1"/>
        <v>45373</v>
      </c>
      <c r="Z7" s="18">
        <f>IFERROR(IF(Y7+1&gt;$C$5,"",Y7+1),"")</f>
        <v>45374</v>
      </c>
      <c r="AA7" s="18">
        <f t="shared" si="1"/>
        <v>45375</v>
      </c>
      <c r="AB7" s="18">
        <f t="shared" si="1"/>
        <v>45376</v>
      </c>
      <c r="AC7" s="18">
        <f t="shared" si="1"/>
        <v>45377</v>
      </c>
      <c r="AD7" s="18">
        <f t="shared" si="1"/>
        <v>45378</v>
      </c>
      <c r="AE7" s="18">
        <f t="shared" si="1"/>
        <v>45379</v>
      </c>
      <c r="AF7" s="18">
        <f t="shared" si="1"/>
        <v>45380</v>
      </c>
      <c r="AG7" s="18">
        <f t="shared" si="1"/>
        <v>45381</v>
      </c>
      <c r="AH7" s="18">
        <f>IFERROR(IF(AG7+1&gt;$C$5,"",AG7+1),"")</f>
        <v>45382</v>
      </c>
      <c r="AI7" s="17"/>
      <c r="AJ7" s="283"/>
      <c r="AK7" s="283"/>
      <c r="AL7" s="284"/>
    </row>
    <row r="8" spans="1:38" ht="21" x14ac:dyDescent="0.4">
      <c r="B8" s="172">
        <v>3427</v>
      </c>
      <c r="C8" s="173" t="s">
        <v>4</v>
      </c>
      <c r="D8" s="86" t="s">
        <v>70</v>
      </c>
      <c r="E8" s="86" t="s">
        <v>70</v>
      </c>
      <c r="F8" s="86"/>
      <c r="G8" s="86" t="s">
        <v>70</v>
      </c>
      <c r="H8" s="86" t="s">
        <v>71</v>
      </c>
      <c r="I8" s="86" t="s">
        <v>70</v>
      </c>
      <c r="J8" s="86" t="s">
        <v>70</v>
      </c>
      <c r="K8" s="86" t="s">
        <v>70</v>
      </c>
      <c r="L8" s="86" t="s">
        <v>70</v>
      </c>
      <c r="M8" s="86"/>
      <c r="N8" s="86" t="s">
        <v>70</v>
      </c>
      <c r="O8" s="86" t="s">
        <v>70</v>
      </c>
      <c r="P8" s="86" t="s">
        <v>70</v>
      </c>
      <c r="Q8" s="86" t="s">
        <v>70</v>
      </c>
      <c r="R8" s="86" t="s">
        <v>70</v>
      </c>
      <c r="S8" s="86" t="s">
        <v>70</v>
      </c>
      <c r="T8" s="86"/>
      <c r="U8" s="86" t="s">
        <v>70</v>
      </c>
      <c r="V8" s="86" t="s">
        <v>70</v>
      </c>
      <c r="W8" s="86" t="s">
        <v>70</v>
      </c>
      <c r="X8" s="86" t="s">
        <v>70</v>
      </c>
      <c r="Y8" s="86" t="s">
        <v>70</v>
      </c>
      <c r="Z8" s="86" t="s">
        <v>70</v>
      </c>
      <c r="AA8" s="86"/>
      <c r="AB8" s="86" t="s">
        <v>70</v>
      </c>
      <c r="AC8" s="86" t="s">
        <v>70</v>
      </c>
      <c r="AD8" s="86" t="s">
        <v>70</v>
      </c>
      <c r="AE8" s="86" t="s">
        <v>70</v>
      </c>
      <c r="AF8" s="86" t="s">
        <v>70</v>
      </c>
      <c r="AG8" s="86" t="s">
        <v>70</v>
      </c>
      <c r="AH8" s="86"/>
      <c r="AI8" s="17"/>
      <c r="AJ8" s="86">
        <f>SUM(AK8,AL8)</f>
        <v>26</v>
      </c>
      <c r="AK8" s="86">
        <f>COUNTIF(D8:AH8,AK$6)</f>
        <v>25</v>
      </c>
      <c r="AL8" s="87">
        <f>COUNTIF(E8:AI8,AL$6)</f>
        <v>1</v>
      </c>
    </row>
    <row r="9" spans="1:38" ht="21" x14ac:dyDescent="0.4">
      <c r="B9" s="172">
        <v>3428</v>
      </c>
      <c r="C9" s="173" t="s">
        <v>5</v>
      </c>
      <c r="D9" s="86" t="s">
        <v>70</v>
      </c>
      <c r="E9" s="86" t="s">
        <v>70</v>
      </c>
      <c r="F9" s="86"/>
      <c r="G9" s="86" t="s">
        <v>70</v>
      </c>
      <c r="H9" s="86" t="s">
        <v>70</v>
      </c>
      <c r="I9" s="86" t="s">
        <v>70</v>
      </c>
      <c r="J9" s="86" t="s">
        <v>70</v>
      </c>
      <c r="K9" s="86" t="s">
        <v>70</v>
      </c>
      <c r="L9" s="86" t="s">
        <v>70</v>
      </c>
      <c r="M9" s="86"/>
      <c r="N9" s="86" t="s">
        <v>70</v>
      </c>
      <c r="O9" s="86" t="s">
        <v>70</v>
      </c>
      <c r="P9" s="86" t="s">
        <v>70</v>
      </c>
      <c r="Q9" s="86" t="s">
        <v>70</v>
      </c>
      <c r="R9" s="86" t="s">
        <v>70</v>
      </c>
      <c r="S9" s="86" t="s">
        <v>70</v>
      </c>
      <c r="T9" s="86"/>
      <c r="U9" s="86" t="s">
        <v>70</v>
      </c>
      <c r="V9" s="86" t="s">
        <v>71</v>
      </c>
      <c r="W9" s="86" t="s">
        <v>70</v>
      </c>
      <c r="X9" s="86" t="s">
        <v>70</v>
      </c>
      <c r="Y9" s="86" t="s">
        <v>70</v>
      </c>
      <c r="Z9" s="86" t="s">
        <v>70</v>
      </c>
      <c r="AA9" s="86"/>
      <c r="AB9" s="86" t="s">
        <v>70</v>
      </c>
      <c r="AC9" s="86" t="s">
        <v>70</v>
      </c>
      <c r="AD9" s="86" t="s">
        <v>70</v>
      </c>
      <c r="AE9" s="86" t="s">
        <v>70</v>
      </c>
      <c r="AF9" s="86" t="s">
        <v>70</v>
      </c>
      <c r="AG9" s="86" t="s">
        <v>71</v>
      </c>
      <c r="AH9" s="86"/>
      <c r="AI9" s="17"/>
      <c r="AJ9" s="86">
        <f t="shared" ref="AJ9:AJ27" si="2">SUM(AK9,AL9)</f>
        <v>26</v>
      </c>
      <c r="AK9" s="86">
        <f t="shared" ref="AK9:AL27" si="3">COUNTIF(D9:AH9,AK$6)</f>
        <v>24</v>
      </c>
      <c r="AL9" s="87">
        <f t="shared" si="3"/>
        <v>2</v>
      </c>
    </row>
    <row r="10" spans="1:38" ht="21" x14ac:dyDescent="0.4">
      <c r="B10" s="172">
        <v>3429</v>
      </c>
      <c r="C10" s="173" t="s">
        <v>6</v>
      </c>
      <c r="D10" s="86" t="s">
        <v>70</v>
      </c>
      <c r="E10" s="86" t="s">
        <v>70</v>
      </c>
      <c r="F10" s="86"/>
      <c r="G10" s="86" t="s">
        <v>70</v>
      </c>
      <c r="H10" s="86" t="s">
        <v>70</v>
      </c>
      <c r="I10" s="86" t="s">
        <v>70</v>
      </c>
      <c r="J10" s="86" t="s">
        <v>70</v>
      </c>
      <c r="K10" s="86" t="s">
        <v>70</v>
      </c>
      <c r="L10" s="86" t="s">
        <v>70</v>
      </c>
      <c r="M10" s="86"/>
      <c r="N10" s="86" t="s">
        <v>70</v>
      </c>
      <c r="O10" s="86" t="s">
        <v>70</v>
      </c>
      <c r="P10" s="86" t="s">
        <v>70</v>
      </c>
      <c r="Q10" s="86" t="s">
        <v>70</v>
      </c>
      <c r="R10" s="86" t="s">
        <v>70</v>
      </c>
      <c r="S10" s="86" t="s">
        <v>70</v>
      </c>
      <c r="T10" s="86"/>
      <c r="U10" s="86" t="s">
        <v>70</v>
      </c>
      <c r="V10" s="86" t="s">
        <v>70</v>
      </c>
      <c r="W10" s="86" t="s">
        <v>70</v>
      </c>
      <c r="X10" s="86" t="s">
        <v>70</v>
      </c>
      <c r="Y10" s="86" t="s">
        <v>70</v>
      </c>
      <c r="Z10" s="86" t="s">
        <v>70</v>
      </c>
      <c r="AA10" s="86"/>
      <c r="AB10" s="86" t="s">
        <v>70</v>
      </c>
      <c r="AC10" s="86" t="s">
        <v>70</v>
      </c>
      <c r="AD10" s="86" t="s">
        <v>70</v>
      </c>
      <c r="AE10" s="86" t="s">
        <v>70</v>
      </c>
      <c r="AF10" s="86" t="s">
        <v>70</v>
      </c>
      <c r="AG10" s="86" t="s">
        <v>70</v>
      </c>
      <c r="AH10" s="86"/>
      <c r="AI10" s="17"/>
      <c r="AJ10" s="86">
        <f t="shared" si="2"/>
        <v>26</v>
      </c>
      <c r="AK10" s="86">
        <f t="shared" si="3"/>
        <v>26</v>
      </c>
      <c r="AL10" s="87">
        <f t="shared" si="3"/>
        <v>0</v>
      </c>
    </row>
    <row r="11" spans="1:38" ht="21" x14ac:dyDescent="0.4">
      <c r="B11" s="172">
        <v>3430</v>
      </c>
      <c r="C11" s="173" t="s">
        <v>7</v>
      </c>
      <c r="D11" s="86" t="s">
        <v>70</v>
      </c>
      <c r="E11" s="86" t="s">
        <v>70</v>
      </c>
      <c r="F11" s="86"/>
      <c r="G11" s="86" t="s">
        <v>70</v>
      </c>
      <c r="H11" s="86" t="s">
        <v>70</v>
      </c>
      <c r="I11" s="86" t="s">
        <v>70</v>
      </c>
      <c r="J11" s="86" t="s">
        <v>70</v>
      </c>
      <c r="K11" s="86" t="s">
        <v>70</v>
      </c>
      <c r="L11" s="86" t="s">
        <v>70</v>
      </c>
      <c r="M11" s="86"/>
      <c r="N11" s="86" t="s">
        <v>70</v>
      </c>
      <c r="O11" s="86" t="s">
        <v>70</v>
      </c>
      <c r="P11" s="86" t="s">
        <v>70</v>
      </c>
      <c r="Q11" s="86" t="s">
        <v>70</v>
      </c>
      <c r="R11" s="86" t="s">
        <v>70</v>
      </c>
      <c r="S11" s="86" t="s">
        <v>70</v>
      </c>
      <c r="T11" s="86"/>
      <c r="U11" s="86" t="s">
        <v>70</v>
      </c>
      <c r="V11" s="86" t="s">
        <v>70</v>
      </c>
      <c r="W11" s="86" t="s">
        <v>70</v>
      </c>
      <c r="X11" s="86" t="s">
        <v>70</v>
      </c>
      <c r="Y11" s="86" t="s">
        <v>70</v>
      </c>
      <c r="Z11" s="86" t="s">
        <v>70</v>
      </c>
      <c r="AA11" s="86"/>
      <c r="AB11" s="86" t="s">
        <v>70</v>
      </c>
      <c r="AC11" s="86" t="s">
        <v>70</v>
      </c>
      <c r="AD11" s="86" t="s">
        <v>70</v>
      </c>
      <c r="AE11" s="86" t="s">
        <v>70</v>
      </c>
      <c r="AF11" s="86" t="s">
        <v>70</v>
      </c>
      <c r="AG11" s="86" t="s">
        <v>70</v>
      </c>
      <c r="AH11" s="86"/>
      <c r="AI11" s="17"/>
      <c r="AJ11" s="86">
        <f t="shared" si="2"/>
        <v>26</v>
      </c>
      <c r="AK11" s="86">
        <f t="shared" si="3"/>
        <v>26</v>
      </c>
      <c r="AL11" s="87">
        <f t="shared" si="3"/>
        <v>0</v>
      </c>
    </row>
    <row r="12" spans="1:38" ht="21" x14ac:dyDescent="0.4">
      <c r="B12" s="172">
        <v>3431</v>
      </c>
      <c r="C12" s="173" t="s">
        <v>8</v>
      </c>
      <c r="D12" s="86" t="s">
        <v>70</v>
      </c>
      <c r="E12" s="86" t="s">
        <v>70</v>
      </c>
      <c r="F12" s="86"/>
      <c r="G12" s="86" t="s">
        <v>71</v>
      </c>
      <c r="H12" s="86" t="s">
        <v>70</v>
      </c>
      <c r="I12" s="86" t="s">
        <v>70</v>
      </c>
      <c r="J12" s="86" t="s">
        <v>70</v>
      </c>
      <c r="K12" s="86" t="s">
        <v>70</v>
      </c>
      <c r="L12" s="86" t="s">
        <v>70</v>
      </c>
      <c r="M12" s="86"/>
      <c r="N12" s="86" t="s">
        <v>70</v>
      </c>
      <c r="O12" s="86" t="s">
        <v>70</v>
      </c>
      <c r="P12" s="86" t="s">
        <v>70</v>
      </c>
      <c r="Q12" s="86" t="s">
        <v>70</v>
      </c>
      <c r="R12" s="86" t="s">
        <v>70</v>
      </c>
      <c r="S12" s="86" t="s">
        <v>71</v>
      </c>
      <c r="T12" s="86"/>
      <c r="U12" s="86" t="s">
        <v>71</v>
      </c>
      <c r="V12" s="86" t="s">
        <v>70</v>
      </c>
      <c r="W12" s="86" t="s">
        <v>70</v>
      </c>
      <c r="X12" s="86" t="s">
        <v>70</v>
      </c>
      <c r="Y12" s="86" t="s">
        <v>70</v>
      </c>
      <c r="Z12" s="86" t="s">
        <v>70</v>
      </c>
      <c r="AA12" s="86"/>
      <c r="AB12" s="86" t="s">
        <v>70</v>
      </c>
      <c r="AC12" s="86" t="s">
        <v>70</v>
      </c>
      <c r="AD12" s="86" t="s">
        <v>70</v>
      </c>
      <c r="AE12" s="86" t="s">
        <v>70</v>
      </c>
      <c r="AF12" s="86" t="s">
        <v>71</v>
      </c>
      <c r="AG12" s="86" t="s">
        <v>70</v>
      </c>
      <c r="AH12" s="86"/>
      <c r="AI12" s="17"/>
      <c r="AJ12" s="86">
        <f t="shared" si="2"/>
        <v>26</v>
      </c>
      <c r="AK12" s="86">
        <f t="shared" si="3"/>
        <v>22</v>
      </c>
      <c r="AL12" s="87">
        <f t="shared" si="3"/>
        <v>4</v>
      </c>
    </row>
    <row r="13" spans="1:38" ht="21" x14ac:dyDescent="0.4">
      <c r="B13" s="172">
        <v>3432</v>
      </c>
      <c r="C13" s="173" t="s">
        <v>9</v>
      </c>
      <c r="D13" s="86" t="s">
        <v>70</v>
      </c>
      <c r="E13" s="86" t="s">
        <v>70</v>
      </c>
      <c r="F13" s="86"/>
      <c r="G13" s="86" t="s">
        <v>70</v>
      </c>
      <c r="H13" s="86" t="s">
        <v>70</v>
      </c>
      <c r="I13" s="86" t="s">
        <v>70</v>
      </c>
      <c r="J13" s="86" t="s">
        <v>70</v>
      </c>
      <c r="K13" s="86" t="s">
        <v>70</v>
      </c>
      <c r="L13" s="86" t="s">
        <v>70</v>
      </c>
      <c r="M13" s="86"/>
      <c r="N13" s="86" t="s">
        <v>70</v>
      </c>
      <c r="O13" s="86" t="s">
        <v>70</v>
      </c>
      <c r="P13" s="86" t="s">
        <v>70</v>
      </c>
      <c r="Q13" s="86" t="s">
        <v>70</v>
      </c>
      <c r="R13" s="86" t="s">
        <v>70</v>
      </c>
      <c r="S13" s="86" t="s">
        <v>70</v>
      </c>
      <c r="T13" s="86"/>
      <c r="U13" s="86" t="s">
        <v>70</v>
      </c>
      <c r="V13" s="86" t="s">
        <v>70</v>
      </c>
      <c r="W13" s="86" t="s">
        <v>70</v>
      </c>
      <c r="X13" s="86" t="s">
        <v>70</v>
      </c>
      <c r="Y13" s="86" t="s">
        <v>70</v>
      </c>
      <c r="Z13" s="86" t="s">
        <v>70</v>
      </c>
      <c r="AA13" s="86"/>
      <c r="AB13" s="86" t="s">
        <v>70</v>
      </c>
      <c r="AC13" s="86" t="s">
        <v>70</v>
      </c>
      <c r="AD13" s="86" t="s">
        <v>70</v>
      </c>
      <c r="AE13" s="86" t="s">
        <v>70</v>
      </c>
      <c r="AF13" s="86" t="s">
        <v>70</v>
      </c>
      <c r="AG13" s="86" t="s">
        <v>70</v>
      </c>
      <c r="AH13" s="86"/>
      <c r="AI13" s="17"/>
      <c r="AJ13" s="86">
        <f t="shared" si="2"/>
        <v>26</v>
      </c>
      <c r="AK13" s="86">
        <f t="shared" si="3"/>
        <v>26</v>
      </c>
      <c r="AL13" s="87">
        <f t="shared" si="3"/>
        <v>0</v>
      </c>
    </row>
    <row r="14" spans="1:38" ht="21" x14ac:dyDescent="0.4">
      <c r="B14" s="172">
        <v>3433</v>
      </c>
      <c r="C14" s="173" t="s">
        <v>10</v>
      </c>
      <c r="D14" s="86" t="s">
        <v>70</v>
      </c>
      <c r="E14" s="86" t="s">
        <v>70</v>
      </c>
      <c r="F14" s="86"/>
      <c r="G14" s="86" t="s">
        <v>70</v>
      </c>
      <c r="H14" s="86" t="s">
        <v>70</v>
      </c>
      <c r="I14" s="86" t="s">
        <v>70</v>
      </c>
      <c r="J14" s="86" t="s">
        <v>70</v>
      </c>
      <c r="K14" s="86" t="s">
        <v>71</v>
      </c>
      <c r="L14" s="86" t="s">
        <v>70</v>
      </c>
      <c r="M14" s="86"/>
      <c r="N14" s="86" t="s">
        <v>70</v>
      </c>
      <c r="O14" s="86" t="s">
        <v>70</v>
      </c>
      <c r="P14" s="86" t="s">
        <v>70</v>
      </c>
      <c r="Q14" s="86" t="s">
        <v>70</v>
      </c>
      <c r="R14" s="86" t="s">
        <v>70</v>
      </c>
      <c r="S14" s="86" t="s">
        <v>71</v>
      </c>
      <c r="T14" s="86"/>
      <c r="U14" s="86" t="s">
        <v>70</v>
      </c>
      <c r="V14" s="86" t="s">
        <v>70</v>
      </c>
      <c r="W14" s="86" t="s">
        <v>70</v>
      </c>
      <c r="X14" s="86" t="s">
        <v>70</v>
      </c>
      <c r="Y14" s="86" t="s">
        <v>70</v>
      </c>
      <c r="Z14" s="86" t="s">
        <v>70</v>
      </c>
      <c r="AA14" s="86"/>
      <c r="AB14" s="86" t="s">
        <v>70</v>
      </c>
      <c r="AC14" s="86" t="s">
        <v>70</v>
      </c>
      <c r="AD14" s="86" t="s">
        <v>70</v>
      </c>
      <c r="AE14" s="86" t="s">
        <v>70</v>
      </c>
      <c r="AF14" s="86" t="s">
        <v>70</v>
      </c>
      <c r="AG14" s="86" t="s">
        <v>70</v>
      </c>
      <c r="AH14" s="86"/>
      <c r="AI14" s="17"/>
      <c r="AJ14" s="86">
        <f t="shared" si="2"/>
        <v>26</v>
      </c>
      <c r="AK14" s="86">
        <f t="shared" si="3"/>
        <v>24</v>
      </c>
      <c r="AL14" s="87">
        <f t="shared" si="3"/>
        <v>2</v>
      </c>
    </row>
    <row r="15" spans="1:38" ht="21" x14ac:dyDescent="0.4">
      <c r="B15" s="172">
        <v>3434</v>
      </c>
      <c r="C15" s="173" t="s">
        <v>11</v>
      </c>
      <c r="D15" s="86" t="s">
        <v>70</v>
      </c>
      <c r="E15" s="86" t="s">
        <v>70</v>
      </c>
      <c r="F15" s="86"/>
      <c r="G15" s="86" t="s">
        <v>70</v>
      </c>
      <c r="H15" s="86" t="s">
        <v>70</v>
      </c>
      <c r="I15" s="86" t="s">
        <v>70</v>
      </c>
      <c r="J15" s="86" t="s">
        <v>70</v>
      </c>
      <c r="K15" s="86" t="s">
        <v>70</v>
      </c>
      <c r="L15" s="86" t="s">
        <v>70</v>
      </c>
      <c r="M15" s="86"/>
      <c r="N15" s="86" t="s">
        <v>70</v>
      </c>
      <c r="O15" s="86" t="s">
        <v>71</v>
      </c>
      <c r="P15" s="86" t="s">
        <v>70</v>
      </c>
      <c r="Q15" s="86" t="s">
        <v>70</v>
      </c>
      <c r="R15" s="86" t="s">
        <v>70</v>
      </c>
      <c r="S15" s="86" t="s">
        <v>70</v>
      </c>
      <c r="T15" s="86"/>
      <c r="U15" s="86" t="s">
        <v>70</v>
      </c>
      <c r="V15" s="86" t="s">
        <v>70</v>
      </c>
      <c r="W15" s="86" t="s">
        <v>70</v>
      </c>
      <c r="X15" s="86" t="s">
        <v>70</v>
      </c>
      <c r="Y15" s="86" t="s">
        <v>70</v>
      </c>
      <c r="Z15" s="86" t="s">
        <v>70</v>
      </c>
      <c r="AA15" s="86"/>
      <c r="AB15" s="86" t="s">
        <v>70</v>
      </c>
      <c r="AC15" s="86" t="s">
        <v>70</v>
      </c>
      <c r="AD15" s="86" t="s">
        <v>71</v>
      </c>
      <c r="AE15" s="86" t="s">
        <v>70</v>
      </c>
      <c r="AF15" s="86" t="s">
        <v>70</v>
      </c>
      <c r="AG15" s="86" t="s">
        <v>70</v>
      </c>
      <c r="AH15" s="86"/>
      <c r="AI15" s="17"/>
      <c r="AJ15" s="86">
        <f t="shared" si="2"/>
        <v>26</v>
      </c>
      <c r="AK15" s="86">
        <f t="shared" si="3"/>
        <v>24</v>
      </c>
      <c r="AL15" s="87">
        <f t="shared" si="3"/>
        <v>2</v>
      </c>
    </row>
    <row r="16" spans="1:38" ht="21" x14ac:dyDescent="0.4">
      <c r="B16" s="172">
        <v>3435</v>
      </c>
      <c r="C16" s="173" t="s">
        <v>12</v>
      </c>
      <c r="D16" s="86" t="s">
        <v>70</v>
      </c>
      <c r="E16" s="86" t="s">
        <v>71</v>
      </c>
      <c r="F16" s="86"/>
      <c r="G16" s="86" t="s">
        <v>70</v>
      </c>
      <c r="H16" s="86" t="s">
        <v>70</v>
      </c>
      <c r="I16" s="86" t="s">
        <v>70</v>
      </c>
      <c r="J16" s="86" t="s">
        <v>70</v>
      </c>
      <c r="K16" s="86" t="s">
        <v>70</v>
      </c>
      <c r="L16" s="86" t="s">
        <v>70</v>
      </c>
      <c r="M16" s="86"/>
      <c r="N16" s="86" t="s">
        <v>70</v>
      </c>
      <c r="O16" s="86" t="s">
        <v>70</v>
      </c>
      <c r="P16" s="86" t="s">
        <v>70</v>
      </c>
      <c r="Q16" s="86" t="s">
        <v>70</v>
      </c>
      <c r="R16" s="86" t="s">
        <v>70</v>
      </c>
      <c r="S16" s="86" t="s">
        <v>70</v>
      </c>
      <c r="T16" s="86"/>
      <c r="U16" s="86" t="s">
        <v>70</v>
      </c>
      <c r="V16" s="86" t="s">
        <v>70</v>
      </c>
      <c r="W16" s="86" t="s">
        <v>70</v>
      </c>
      <c r="X16" s="86" t="s">
        <v>70</v>
      </c>
      <c r="Y16" s="86" t="s">
        <v>70</v>
      </c>
      <c r="Z16" s="86" t="s">
        <v>71</v>
      </c>
      <c r="AA16" s="86"/>
      <c r="AB16" s="86" t="s">
        <v>70</v>
      </c>
      <c r="AC16" s="86" t="s">
        <v>70</v>
      </c>
      <c r="AD16" s="86" t="s">
        <v>70</v>
      </c>
      <c r="AE16" s="86" t="s">
        <v>70</v>
      </c>
      <c r="AF16" s="86" t="s">
        <v>70</v>
      </c>
      <c r="AG16" s="86" t="s">
        <v>70</v>
      </c>
      <c r="AH16" s="86"/>
      <c r="AI16" s="17"/>
      <c r="AJ16" s="86">
        <f t="shared" si="2"/>
        <v>26</v>
      </c>
      <c r="AK16" s="86">
        <f t="shared" si="3"/>
        <v>24</v>
      </c>
      <c r="AL16" s="87">
        <f t="shared" si="3"/>
        <v>2</v>
      </c>
    </row>
    <row r="17" spans="2:38" ht="21" x14ac:dyDescent="0.4">
      <c r="B17" s="172">
        <v>3436</v>
      </c>
      <c r="C17" s="173" t="s">
        <v>13</v>
      </c>
      <c r="D17" s="86" t="s">
        <v>70</v>
      </c>
      <c r="E17" s="86" t="s">
        <v>70</v>
      </c>
      <c r="F17" s="86"/>
      <c r="G17" s="86" t="s">
        <v>71</v>
      </c>
      <c r="H17" s="86" t="s">
        <v>70</v>
      </c>
      <c r="I17" s="86" t="s">
        <v>70</v>
      </c>
      <c r="J17" s="86" t="s">
        <v>70</v>
      </c>
      <c r="K17" s="86" t="s">
        <v>70</v>
      </c>
      <c r="L17" s="86" t="s">
        <v>70</v>
      </c>
      <c r="M17" s="86"/>
      <c r="N17" s="86" t="s">
        <v>70</v>
      </c>
      <c r="O17" s="86" t="s">
        <v>70</v>
      </c>
      <c r="P17" s="86" t="s">
        <v>70</v>
      </c>
      <c r="Q17" s="86" t="s">
        <v>70</v>
      </c>
      <c r="R17" s="86" t="s">
        <v>70</v>
      </c>
      <c r="S17" s="86" t="s">
        <v>70</v>
      </c>
      <c r="T17" s="86"/>
      <c r="U17" s="86" t="s">
        <v>70</v>
      </c>
      <c r="V17" s="86" t="s">
        <v>70</v>
      </c>
      <c r="W17" s="86" t="s">
        <v>70</v>
      </c>
      <c r="X17" s="86" t="s">
        <v>70</v>
      </c>
      <c r="Y17" s="86" t="s">
        <v>70</v>
      </c>
      <c r="Z17" s="86" t="s">
        <v>70</v>
      </c>
      <c r="AA17" s="86"/>
      <c r="AB17" s="86" t="s">
        <v>70</v>
      </c>
      <c r="AC17" s="86" t="s">
        <v>70</v>
      </c>
      <c r="AD17" s="86" t="s">
        <v>70</v>
      </c>
      <c r="AE17" s="86" t="s">
        <v>70</v>
      </c>
      <c r="AF17" s="86" t="s">
        <v>70</v>
      </c>
      <c r="AG17" s="86" t="s">
        <v>71</v>
      </c>
      <c r="AH17" s="86"/>
      <c r="AI17" s="17"/>
      <c r="AJ17" s="86">
        <f t="shared" si="2"/>
        <v>26</v>
      </c>
      <c r="AK17" s="86">
        <f t="shared" si="3"/>
        <v>24</v>
      </c>
      <c r="AL17" s="87">
        <f t="shared" si="3"/>
        <v>2</v>
      </c>
    </row>
    <row r="18" spans="2:38" ht="21" x14ac:dyDescent="0.4">
      <c r="B18" s="172">
        <v>3437</v>
      </c>
      <c r="C18" s="173" t="s">
        <v>14</v>
      </c>
      <c r="D18" s="86" t="s">
        <v>70</v>
      </c>
      <c r="E18" s="86" t="s">
        <v>70</v>
      </c>
      <c r="F18" s="86"/>
      <c r="G18" s="86" t="s">
        <v>70</v>
      </c>
      <c r="H18" s="86" t="s">
        <v>70</v>
      </c>
      <c r="I18" s="86" t="s">
        <v>70</v>
      </c>
      <c r="J18" s="86" t="s">
        <v>70</v>
      </c>
      <c r="K18" s="86" t="s">
        <v>70</v>
      </c>
      <c r="L18" s="86" t="s">
        <v>70</v>
      </c>
      <c r="M18" s="86"/>
      <c r="N18" s="86" t="s">
        <v>70</v>
      </c>
      <c r="O18" s="86" t="s">
        <v>70</v>
      </c>
      <c r="P18" s="86" t="s">
        <v>70</v>
      </c>
      <c r="Q18" s="86" t="s">
        <v>70</v>
      </c>
      <c r="R18" s="86" t="s">
        <v>70</v>
      </c>
      <c r="S18" s="86" t="s">
        <v>70</v>
      </c>
      <c r="T18" s="86"/>
      <c r="U18" s="86" t="s">
        <v>70</v>
      </c>
      <c r="V18" s="86" t="s">
        <v>70</v>
      </c>
      <c r="W18" s="86" t="s">
        <v>70</v>
      </c>
      <c r="X18" s="86" t="s">
        <v>70</v>
      </c>
      <c r="Y18" s="86" t="s">
        <v>70</v>
      </c>
      <c r="Z18" s="86" t="s">
        <v>70</v>
      </c>
      <c r="AA18" s="86"/>
      <c r="AB18" s="86" t="s">
        <v>70</v>
      </c>
      <c r="AC18" s="86" t="s">
        <v>70</v>
      </c>
      <c r="AD18" s="86" t="s">
        <v>70</v>
      </c>
      <c r="AE18" s="86" t="s">
        <v>70</v>
      </c>
      <c r="AF18" s="86" t="s">
        <v>70</v>
      </c>
      <c r="AG18" s="86" t="s">
        <v>70</v>
      </c>
      <c r="AH18" s="86"/>
      <c r="AI18" s="17"/>
      <c r="AJ18" s="86">
        <f t="shared" si="2"/>
        <v>26</v>
      </c>
      <c r="AK18" s="86">
        <f t="shared" si="3"/>
        <v>26</v>
      </c>
      <c r="AL18" s="87">
        <f t="shared" si="3"/>
        <v>0</v>
      </c>
    </row>
    <row r="19" spans="2:38" ht="21" x14ac:dyDescent="0.4">
      <c r="B19" s="172">
        <v>3438</v>
      </c>
      <c r="C19" s="173" t="s">
        <v>15</v>
      </c>
      <c r="D19" s="86" t="s">
        <v>70</v>
      </c>
      <c r="E19" s="86" t="s">
        <v>70</v>
      </c>
      <c r="F19" s="86"/>
      <c r="G19" s="86" t="s">
        <v>70</v>
      </c>
      <c r="H19" s="86" t="s">
        <v>70</v>
      </c>
      <c r="I19" s="86" t="s">
        <v>70</v>
      </c>
      <c r="J19" s="86" t="s">
        <v>70</v>
      </c>
      <c r="K19" s="86" t="s">
        <v>70</v>
      </c>
      <c r="L19" s="86" t="s">
        <v>70</v>
      </c>
      <c r="M19" s="86"/>
      <c r="N19" s="86" t="s">
        <v>70</v>
      </c>
      <c r="O19" s="86" t="s">
        <v>70</v>
      </c>
      <c r="P19" s="86" t="s">
        <v>70</v>
      </c>
      <c r="Q19" s="86" t="s">
        <v>70</v>
      </c>
      <c r="R19" s="86" t="s">
        <v>70</v>
      </c>
      <c r="S19" s="86" t="s">
        <v>70</v>
      </c>
      <c r="T19" s="86"/>
      <c r="U19" s="86" t="s">
        <v>70</v>
      </c>
      <c r="V19" s="86" t="s">
        <v>70</v>
      </c>
      <c r="W19" s="86" t="s">
        <v>70</v>
      </c>
      <c r="X19" s="86" t="s">
        <v>70</v>
      </c>
      <c r="Y19" s="86" t="s">
        <v>70</v>
      </c>
      <c r="Z19" s="86" t="s">
        <v>70</v>
      </c>
      <c r="AA19" s="86"/>
      <c r="AB19" s="86" t="s">
        <v>70</v>
      </c>
      <c r="AC19" s="86" t="s">
        <v>71</v>
      </c>
      <c r="AD19" s="86" t="s">
        <v>70</v>
      </c>
      <c r="AE19" s="86" t="s">
        <v>70</v>
      </c>
      <c r="AF19" s="86" t="s">
        <v>70</v>
      </c>
      <c r="AG19" s="86" t="s">
        <v>70</v>
      </c>
      <c r="AH19" s="86"/>
      <c r="AI19" s="17"/>
      <c r="AJ19" s="86">
        <f t="shared" si="2"/>
        <v>26</v>
      </c>
      <c r="AK19" s="86">
        <f t="shared" si="3"/>
        <v>25</v>
      </c>
      <c r="AL19" s="87">
        <f t="shared" si="3"/>
        <v>1</v>
      </c>
    </row>
    <row r="20" spans="2:38" ht="21" x14ac:dyDescent="0.4">
      <c r="B20" s="172">
        <v>3439</v>
      </c>
      <c r="C20" s="173" t="s">
        <v>16</v>
      </c>
      <c r="D20" s="86" t="s">
        <v>70</v>
      </c>
      <c r="E20" s="86" t="s">
        <v>70</v>
      </c>
      <c r="F20" s="86"/>
      <c r="G20" s="86" t="s">
        <v>70</v>
      </c>
      <c r="H20" s="86" t="s">
        <v>70</v>
      </c>
      <c r="I20" s="86" t="s">
        <v>70</v>
      </c>
      <c r="J20" s="86" t="s">
        <v>70</v>
      </c>
      <c r="K20" s="86" t="s">
        <v>70</v>
      </c>
      <c r="L20" s="86" t="s">
        <v>70</v>
      </c>
      <c r="M20" s="86"/>
      <c r="N20" s="86" t="s">
        <v>70</v>
      </c>
      <c r="O20" s="86" t="s">
        <v>70</v>
      </c>
      <c r="P20" s="86" t="s">
        <v>70</v>
      </c>
      <c r="Q20" s="86" t="s">
        <v>70</v>
      </c>
      <c r="R20" s="86" t="s">
        <v>70</v>
      </c>
      <c r="S20" s="86" t="s">
        <v>70</v>
      </c>
      <c r="T20" s="86"/>
      <c r="U20" s="86" t="s">
        <v>70</v>
      </c>
      <c r="V20" s="86" t="s">
        <v>71</v>
      </c>
      <c r="W20" s="86" t="s">
        <v>70</v>
      </c>
      <c r="X20" s="86" t="s">
        <v>70</v>
      </c>
      <c r="Y20" s="86" t="s">
        <v>70</v>
      </c>
      <c r="Z20" s="86" t="s">
        <v>71</v>
      </c>
      <c r="AA20" s="86"/>
      <c r="AB20" s="86" t="s">
        <v>70</v>
      </c>
      <c r="AC20" s="86" t="s">
        <v>70</v>
      </c>
      <c r="AD20" s="86" t="s">
        <v>70</v>
      </c>
      <c r="AE20" s="86" t="s">
        <v>70</v>
      </c>
      <c r="AF20" s="86" t="s">
        <v>70</v>
      </c>
      <c r="AG20" s="86" t="s">
        <v>70</v>
      </c>
      <c r="AH20" s="86"/>
      <c r="AI20" s="17"/>
      <c r="AJ20" s="86">
        <f t="shared" si="2"/>
        <v>26</v>
      </c>
      <c r="AK20" s="86">
        <f t="shared" si="3"/>
        <v>24</v>
      </c>
      <c r="AL20" s="87">
        <f t="shared" si="3"/>
        <v>2</v>
      </c>
    </row>
    <row r="21" spans="2:38" ht="21" x14ac:dyDescent="0.4">
      <c r="B21" s="172">
        <v>3440</v>
      </c>
      <c r="C21" s="173" t="s">
        <v>17</v>
      </c>
      <c r="D21" s="86" t="s">
        <v>70</v>
      </c>
      <c r="E21" s="86" t="s">
        <v>70</v>
      </c>
      <c r="F21" s="86"/>
      <c r="G21" s="86" t="s">
        <v>70</v>
      </c>
      <c r="H21" s="86" t="s">
        <v>70</v>
      </c>
      <c r="I21" s="86" t="s">
        <v>70</v>
      </c>
      <c r="J21" s="86" t="s">
        <v>70</v>
      </c>
      <c r="K21" s="86" t="s">
        <v>70</v>
      </c>
      <c r="L21" s="86" t="s">
        <v>70</v>
      </c>
      <c r="M21" s="86"/>
      <c r="N21" s="86" t="s">
        <v>70</v>
      </c>
      <c r="O21" s="86" t="s">
        <v>71</v>
      </c>
      <c r="P21" s="86" t="s">
        <v>70</v>
      </c>
      <c r="Q21" s="86" t="s">
        <v>70</v>
      </c>
      <c r="R21" s="86" t="s">
        <v>70</v>
      </c>
      <c r="S21" s="86" t="s">
        <v>70</v>
      </c>
      <c r="T21" s="86"/>
      <c r="U21" s="86" t="s">
        <v>70</v>
      </c>
      <c r="V21" s="86" t="s">
        <v>70</v>
      </c>
      <c r="W21" s="86" t="s">
        <v>70</v>
      </c>
      <c r="X21" s="86" t="s">
        <v>70</v>
      </c>
      <c r="Y21" s="86" t="s">
        <v>70</v>
      </c>
      <c r="Z21" s="86" t="s">
        <v>70</v>
      </c>
      <c r="AA21" s="86"/>
      <c r="AB21" s="86" t="s">
        <v>70</v>
      </c>
      <c r="AC21" s="86" t="s">
        <v>70</v>
      </c>
      <c r="AD21" s="86" t="s">
        <v>70</v>
      </c>
      <c r="AE21" s="86" t="s">
        <v>70</v>
      </c>
      <c r="AF21" s="86" t="s">
        <v>70</v>
      </c>
      <c r="AG21" s="86" t="s">
        <v>70</v>
      </c>
      <c r="AH21" s="86"/>
      <c r="AI21" s="17"/>
      <c r="AJ21" s="86">
        <f t="shared" si="2"/>
        <v>26</v>
      </c>
      <c r="AK21" s="86">
        <f t="shared" si="3"/>
        <v>25</v>
      </c>
      <c r="AL21" s="87">
        <f t="shared" si="3"/>
        <v>1</v>
      </c>
    </row>
    <row r="22" spans="2:38" ht="21" x14ac:dyDescent="0.4">
      <c r="B22" s="172">
        <v>3441</v>
      </c>
      <c r="C22" s="173" t="s">
        <v>18</v>
      </c>
      <c r="D22" s="86" t="s">
        <v>70</v>
      </c>
      <c r="E22" s="86" t="s">
        <v>70</v>
      </c>
      <c r="F22" s="86"/>
      <c r="G22" s="86" t="s">
        <v>70</v>
      </c>
      <c r="H22" s="86" t="s">
        <v>70</v>
      </c>
      <c r="I22" s="86" t="s">
        <v>70</v>
      </c>
      <c r="J22" s="86" t="s">
        <v>70</v>
      </c>
      <c r="K22" s="86"/>
      <c r="L22" s="86" t="s">
        <v>71</v>
      </c>
      <c r="M22" s="86"/>
      <c r="N22" s="86" t="s">
        <v>70</v>
      </c>
      <c r="O22" s="86" t="s">
        <v>70</v>
      </c>
      <c r="P22" s="86" t="s">
        <v>70</v>
      </c>
      <c r="Q22" s="86" t="s">
        <v>70</v>
      </c>
      <c r="R22" s="86" t="s">
        <v>70</v>
      </c>
      <c r="S22" s="86" t="s">
        <v>70</v>
      </c>
      <c r="T22" s="86"/>
      <c r="U22" s="86" t="s">
        <v>70</v>
      </c>
      <c r="V22" s="86" t="s">
        <v>70</v>
      </c>
      <c r="W22" s="86" t="s">
        <v>70</v>
      </c>
      <c r="X22" s="86" t="s">
        <v>70</v>
      </c>
      <c r="Y22" s="86" t="s">
        <v>70</v>
      </c>
      <c r="Z22" s="86" t="s">
        <v>70</v>
      </c>
      <c r="AA22" s="86"/>
      <c r="AB22" s="86" t="s">
        <v>70</v>
      </c>
      <c r="AC22" s="86" t="s">
        <v>70</v>
      </c>
      <c r="AD22" s="86" t="s">
        <v>70</v>
      </c>
      <c r="AE22" s="86" t="s">
        <v>70</v>
      </c>
      <c r="AF22" s="86" t="s">
        <v>70</v>
      </c>
      <c r="AG22" s="86" t="s">
        <v>70</v>
      </c>
      <c r="AH22" s="86"/>
      <c r="AI22" s="17"/>
      <c r="AJ22" s="86">
        <f t="shared" si="2"/>
        <v>25</v>
      </c>
      <c r="AK22" s="86">
        <f t="shared" si="3"/>
        <v>24</v>
      </c>
      <c r="AL22" s="87">
        <f t="shared" si="3"/>
        <v>1</v>
      </c>
    </row>
    <row r="23" spans="2:38" ht="21" x14ac:dyDescent="0.4">
      <c r="B23" s="172">
        <v>3442</v>
      </c>
      <c r="C23" s="173" t="s">
        <v>19</v>
      </c>
      <c r="D23" s="86" t="s">
        <v>70</v>
      </c>
      <c r="E23" s="86" t="s">
        <v>70</v>
      </c>
      <c r="F23" s="86"/>
      <c r="G23" s="86" t="s">
        <v>70</v>
      </c>
      <c r="H23" s="86" t="s">
        <v>70</v>
      </c>
      <c r="I23" s="86" t="s">
        <v>70</v>
      </c>
      <c r="J23" s="86" t="s">
        <v>70</v>
      </c>
      <c r="K23" s="86" t="s">
        <v>70</v>
      </c>
      <c r="L23" s="86" t="s">
        <v>70</v>
      </c>
      <c r="M23" s="86"/>
      <c r="N23" s="86" t="s">
        <v>70</v>
      </c>
      <c r="O23" s="86" t="s">
        <v>70</v>
      </c>
      <c r="P23" s="86" t="s">
        <v>70</v>
      </c>
      <c r="Q23" s="86" t="s">
        <v>70</v>
      </c>
      <c r="R23" s="86" t="s">
        <v>70</v>
      </c>
      <c r="S23" s="86" t="s">
        <v>70</v>
      </c>
      <c r="T23" s="86"/>
      <c r="U23" s="86" t="s">
        <v>70</v>
      </c>
      <c r="V23" s="86" t="s">
        <v>70</v>
      </c>
      <c r="W23" s="86" t="s">
        <v>70</v>
      </c>
      <c r="X23" s="86" t="s">
        <v>70</v>
      </c>
      <c r="Y23" s="86" t="s">
        <v>70</v>
      </c>
      <c r="Z23" s="86" t="s">
        <v>70</v>
      </c>
      <c r="AA23" s="86"/>
      <c r="AB23" s="86" t="s">
        <v>70</v>
      </c>
      <c r="AC23" s="86" t="s">
        <v>70</v>
      </c>
      <c r="AD23" s="86" t="s">
        <v>70</v>
      </c>
      <c r="AE23" s="86" t="s">
        <v>70</v>
      </c>
      <c r="AF23" s="86" t="s">
        <v>70</v>
      </c>
      <c r="AG23" s="86" t="s">
        <v>70</v>
      </c>
      <c r="AH23" s="86"/>
      <c r="AI23" s="17"/>
      <c r="AJ23" s="86">
        <f t="shared" si="2"/>
        <v>26</v>
      </c>
      <c r="AK23" s="86">
        <f t="shared" si="3"/>
        <v>26</v>
      </c>
      <c r="AL23" s="87">
        <f t="shared" si="3"/>
        <v>0</v>
      </c>
    </row>
    <row r="24" spans="2:38" ht="21" x14ac:dyDescent="0.4">
      <c r="B24" s="172">
        <v>3443</v>
      </c>
      <c r="C24" s="173" t="s">
        <v>20</v>
      </c>
      <c r="D24" s="86" t="s">
        <v>70</v>
      </c>
      <c r="E24" s="86" t="s">
        <v>70</v>
      </c>
      <c r="F24" s="86"/>
      <c r="G24" s="86" t="s">
        <v>70</v>
      </c>
      <c r="H24" s="86" t="s">
        <v>70</v>
      </c>
      <c r="I24" s="86" t="s">
        <v>70</v>
      </c>
      <c r="J24" s="86" t="s">
        <v>70</v>
      </c>
      <c r="K24" s="86" t="s">
        <v>70</v>
      </c>
      <c r="L24" s="86" t="s">
        <v>70</v>
      </c>
      <c r="M24" s="86"/>
      <c r="N24" s="86" t="s">
        <v>70</v>
      </c>
      <c r="O24" s="86" t="s">
        <v>70</v>
      </c>
      <c r="P24" s="86" t="s">
        <v>70</v>
      </c>
      <c r="Q24" s="86" t="s">
        <v>70</v>
      </c>
      <c r="R24" s="86" t="s">
        <v>70</v>
      </c>
      <c r="S24" s="86" t="s">
        <v>70</v>
      </c>
      <c r="T24" s="86"/>
      <c r="U24" s="86" t="s">
        <v>70</v>
      </c>
      <c r="V24" s="86" t="s">
        <v>70</v>
      </c>
      <c r="W24" s="86" t="s">
        <v>70</v>
      </c>
      <c r="X24" s="86" t="s">
        <v>70</v>
      </c>
      <c r="Y24" s="86" t="s">
        <v>70</v>
      </c>
      <c r="Z24" s="86" t="s">
        <v>71</v>
      </c>
      <c r="AA24" s="86"/>
      <c r="AB24" s="86" t="s">
        <v>70</v>
      </c>
      <c r="AC24" s="86" t="s">
        <v>70</v>
      </c>
      <c r="AD24" s="86" t="s">
        <v>70</v>
      </c>
      <c r="AE24" s="86" t="s">
        <v>70</v>
      </c>
      <c r="AF24" s="86" t="s">
        <v>70</v>
      </c>
      <c r="AG24" s="86" t="s">
        <v>70</v>
      </c>
      <c r="AH24" s="86"/>
      <c r="AI24" s="17"/>
      <c r="AJ24" s="86">
        <f t="shared" si="2"/>
        <v>26</v>
      </c>
      <c r="AK24" s="86">
        <f t="shared" si="3"/>
        <v>25</v>
      </c>
      <c r="AL24" s="87">
        <f t="shared" si="3"/>
        <v>1</v>
      </c>
    </row>
    <row r="25" spans="2:38" ht="21" x14ac:dyDescent="0.4">
      <c r="B25" s="172">
        <v>3444</v>
      </c>
      <c r="C25" s="173" t="s">
        <v>21</v>
      </c>
      <c r="D25" s="86" t="s">
        <v>70</v>
      </c>
      <c r="E25" s="86" t="s">
        <v>70</v>
      </c>
      <c r="F25" s="86"/>
      <c r="G25" s="86" t="s">
        <v>70</v>
      </c>
      <c r="H25" s="86" t="s">
        <v>70</v>
      </c>
      <c r="I25" s="86" t="s">
        <v>70</v>
      </c>
      <c r="J25" s="86" t="s">
        <v>70</v>
      </c>
      <c r="K25" s="86" t="s">
        <v>70</v>
      </c>
      <c r="L25" s="86" t="s">
        <v>70</v>
      </c>
      <c r="M25" s="86"/>
      <c r="N25" s="86" t="s">
        <v>71</v>
      </c>
      <c r="O25" s="86" t="s">
        <v>70</v>
      </c>
      <c r="P25" s="86" t="s">
        <v>70</v>
      </c>
      <c r="Q25" s="86" t="s">
        <v>70</v>
      </c>
      <c r="R25" s="86" t="s">
        <v>70</v>
      </c>
      <c r="S25" s="86" t="s">
        <v>70</v>
      </c>
      <c r="T25" s="86"/>
      <c r="U25" s="86" t="s">
        <v>70</v>
      </c>
      <c r="V25" s="86" t="s">
        <v>70</v>
      </c>
      <c r="W25" s="86" t="s">
        <v>70</v>
      </c>
      <c r="X25" s="86" t="s">
        <v>70</v>
      </c>
      <c r="Y25" s="86" t="s">
        <v>70</v>
      </c>
      <c r="Z25" s="86" t="s">
        <v>70</v>
      </c>
      <c r="AA25" s="86"/>
      <c r="AB25" s="86" t="s">
        <v>70</v>
      </c>
      <c r="AC25" s="86" t="s">
        <v>70</v>
      </c>
      <c r="AD25" s="86" t="s">
        <v>70</v>
      </c>
      <c r="AE25" s="86" t="s">
        <v>70</v>
      </c>
      <c r="AF25" s="86" t="s">
        <v>70</v>
      </c>
      <c r="AG25" s="86" t="s">
        <v>70</v>
      </c>
      <c r="AH25" s="86"/>
      <c r="AI25" s="17"/>
      <c r="AJ25" s="86">
        <f t="shared" si="2"/>
        <v>26</v>
      </c>
      <c r="AK25" s="86">
        <f t="shared" si="3"/>
        <v>25</v>
      </c>
      <c r="AL25" s="87">
        <f t="shared" si="3"/>
        <v>1</v>
      </c>
    </row>
    <row r="26" spans="2:38" ht="21" x14ac:dyDescent="0.4">
      <c r="B26" s="172">
        <v>3445</v>
      </c>
      <c r="C26" s="173" t="s">
        <v>22</v>
      </c>
      <c r="D26" s="86" t="s">
        <v>70</v>
      </c>
      <c r="E26" s="86" t="s">
        <v>70</v>
      </c>
      <c r="F26" s="86"/>
      <c r="G26" s="86" t="s">
        <v>70</v>
      </c>
      <c r="H26" s="86" t="s">
        <v>70</v>
      </c>
      <c r="I26" s="86" t="s">
        <v>70</v>
      </c>
      <c r="J26" s="86" t="s">
        <v>70</v>
      </c>
      <c r="K26" s="86" t="s">
        <v>70</v>
      </c>
      <c r="L26" s="86" t="s">
        <v>70</v>
      </c>
      <c r="M26" s="86"/>
      <c r="N26" s="86" t="s">
        <v>70</v>
      </c>
      <c r="O26" s="86" t="s">
        <v>70</v>
      </c>
      <c r="P26" s="86" t="s">
        <v>70</v>
      </c>
      <c r="Q26" s="86" t="s">
        <v>70</v>
      </c>
      <c r="R26" s="86" t="s">
        <v>70</v>
      </c>
      <c r="S26" s="86" t="s">
        <v>70</v>
      </c>
      <c r="T26" s="86"/>
      <c r="U26" s="86" t="s">
        <v>70</v>
      </c>
      <c r="V26" s="86" t="s">
        <v>70</v>
      </c>
      <c r="W26" s="86" t="s">
        <v>70</v>
      </c>
      <c r="X26" s="86" t="s">
        <v>70</v>
      </c>
      <c r="Y26" s="86" t="s">
        <v>70</v>
      </c>
      <c r="Z26" s="86" t="s">
        <v>70</v>
      </c>
      <c r="AA26" s="86"/>
      <c r="AB26" s="86" t="s">
        <v>70</v>
      </c>
      <c r="AC26" s="86" t="s">
        <v>70</v>
      </c>
      <c r="AD26" s="86" t="s">
        <v>70</v>
      </c>
      <c r="AE26" s="86" t="s">
        <v>70</v>
      </c>
      <c r="AF26" s="86" t="s">
        <v>70</v>
      </c>
      <c r="AG26" s="86" t="s">
        <v>70</v>
      </c>
      <c r="AH26" s="86"/>
      <c r="AI26" s="17"/>
      <c r="AJ26" s="86">
        <f t="shared" si="2"/>
        <v>26</v>
      </c>
      <c r="AK26" s="86">
        <f t="shared" si="3"/>
        <v>26</v>
      </c>
      <c r="AL26" s="87">
        <f t="shared" si="3"/>
        <v>0</v>
      </c>
    </row>
    <row r="27" spans="2:38" ht="21" x14ac:dyDescent="0.4">
      <c r="B27" s="172">
        <v>3446</v>
      </c>
      <c r="C27" s="173" t="s">
        <v>23</v>
      </c>
      <c r="D27" s="86" t="s">
        <v>70</v>
      </c>
      <c r="E27" s="86" t="s">
        <v>70</v>
      </c>
      <c r="F27" s="86"/>
      <c r="G27" s="86" t="s">
        <v>70</v>
      </c>
      <c r="H27" s="86" t="s">
        <v>70</v>
      </c>
      <c r="I27" s="86" t="s">
        <v>70</v>
      </c>
      <c r="J27" s="86" t="s">
        <v>70</v>
      </c>
      <c r="K27" s="86" t="s">
        <v>70</v>
      </c>
      <c r="L27" s="86" t="s">
        <v>70</v>
      </c>
      <c r="M27" s="86"/>
      <c r="N27" s="86" t="s">
        <v>70</v>
      </c>
      <c r="O27" s="86" t="s">
        <v>70</v>
      </c>
      <c r="P27" s="86" t="s">
        <v>70</v>
      </c>
      <c r="Q27" s="86" t="s">
        <v>70</v>
      </c>
      <c r="R27" s="86" t="s">
        <v>70</v>
      </c>
      <c r="S27" s="86" t="s">
        <v>70</v>
      </c>
      <c r="T27" s="86"/>
      <c r="U27" s="86" t="s">
        <v>70</v>
      </c>
      <c r="V27" s="86" t="s">
        <v>70</v>
      </c>
      <c r="W27" s="86" t="s">
        <v>70</v>
      </c>
      <c r="X27" s="86" t="s">
        <v>70</v>
      </c>
      <c r="Y27" s="86" t="s">
        <v>70</v>
      </c>
      <c r="Z27" s="86" t="s">
        <v>70</v>
      </c>
      <c r="AA27" s="86"/>
      <c r="AB27" s="86" t="s">
        <v>70</v>
      </c>
      <c r="AC27" s="86" t="s">
        <v>70</v>
      </c>
      <c r="AD27" s="86" t="s">
        <v>70</v>
      </c>
      <c r="AE27" s="86" t="s">
        <v>70</v>
      </c>
      <c r="AF27" s="86" t="s">
        <v>70</v>
      </c>
      <c r="AG27" s="86" t="s">
        <v>70</v>
      </c>
      <c r="AH27" s="86"/>
      <c r="AI27" s="17"/>
      <c r="AJ27" s="86">
        <f t="shared" si="2"/>
        <v>26</v>
      </c>
      <c r="AK27" s="86">
        <f t="shared" si="3"/>
        <v>26</v>
      </c>
      <c r="AL27" s="87">
        <f t="shared" si="3"/>
        <v>0</v>
      </c>
    </row>
    <row r="28" spans="2:38" ht="7.5" customHeight="1" thickBot="1" x14ac:dyDescent="0.45">
      <c r="B28" s="174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6"/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63" priority="1" operator="containsText" text="A">
      <formula>NOT(ISERROR(SEARCH("A",D8)))</formula>
    </cfRule>
    <cfRule type="expression" dxfId="62" priority="5">
      <formula>D$6="Sun"</formula>
    </cfRule>
    <cfRule type="expression" dxfId="61" priority="6">
      <formula>D$6="Sun"</formula>
    </cfRule>
  </conditionalFormatting>
  <conditionalFormatting sqref="D6:AL7">
    <cfRule type="notContainsBlanks" dxfId="60" priority="2">
      <formula>LEN(TRIM(D6))&gt;0</formula>
    </cfRule>
    <cfRule type="notContainsBlanks" dxfId="59" priority="3">
      <formula>LEN(TRIM(D6))&gt;0</formula>
    </cfRule>
  </conditionalFormatting>
  <conditionalFormatting sqref="D6:AL27">
    <cfRule type="expression" dxfId="58" priority="4">
      <formula>D$6&lt;&gt;""</formula>
    </cfRule>
  </conditionalFormatting>
  <dataValidations count="4">
    <dataValidation type="custom" allowBlank="1" showInputMessage="1" showErrorMessage="1" errorTitle="Info" error="Week Off" sqref="D6:AH27" xr:uid="{00000000-0002-0000-0700-000000000000}">
      <formula1>D$6&lt;&gt;"Sun"</formula1>
    </dataValidation>
    <dataValidation type="custom" allowBlank="1" showInputMessage="1" showErrorMessage="1" errorTitle="Info" error="Week Off" sqref="AI6:AL27" xr:uid="{00000000-0002-0000-0700-000001000000}">
      <formula1>AI$6&lt;&gt;""</formula1>
    </dataValidation>
    <dataValidation type="list" allowBlank="1" showInputMessage="1" showErrorMessage="1" sqref="C4" xr:uid="{00000000-0002-0000-0700-000002000000}">
      <formula1>"2024"</formula1>
    </dataValidation>
    <dataValidation type="list" allowBlank="1" showInputMessage="1" showErrorMessage="1" sqref="C3" xr:uid="{00000000-0002-0000-0700-000003000000}">
      <formula1>"JANUARY,FEBRUARY,MARCH,APRIL,MAY,JUNE,JULY,AUGUST,SEPTEMBER,NOVEMBER,DECEMBER"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L28"/>
  <sheetViews>
    <sheetView showGridLines="0" zoomScale="33" zoomScaleNormal="33" workbookViewId="0"/>
  </sheetViews>
  <sheetFormatPr defaultRowHeight="14.4" x14ac:dyDescent="0.3"/>
  <cols>
    <col min="1" max="1" width="58.109375" customWidth="1"/>
    <col min="2" max="2" width="38" customWidth="1"/>
    <col min="3" max="3" width="30.33203125" customWidth="1"/>
    <col min="4" max="33" width="12.33203125" bestFit="1" customWidth="1"/>
    <col min="34" max="34" width="5.5546875" customWidth="1"/>
    <col min="35" max="35" width="38.5546875" customWidth="1"/>
    <col min="36" max="36" width="28.6640625" bestFit="1" customWidth="1"/>
    <col min="37" max="37" width="11" customWidth="1"/>
    <col min="38" max="38" width="5.88671875" bestFit="1" customWidth="1"/>
  </cols>
  <sheetData>
    <row r="1" spans="1:38" ht="102" customHeight="1" thickBot="1" x14ac:dyDescent="0.35"/>
    <row r="2" spans="1:38" ht="55.2" x14ac:dyDescent="1.3">
      <c r="A2" s="195" t="str">
        <f>HYPERLINK("#'Table Of contents'!B1","GO TO TOC SHEET")</f>
        <v>GO TO TOC SHEET</v>
      </c>
      <c r="B2" s="276" t="s">
        <v>93</v>
      </c>
      <c r="C2" s="277"/>
      <c r="D2" s="271" t="s">
        <v>72</v>
      </c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3"/>
    </row>
    <row r="3" spans="1:38" ht="38.25" customHeight="1" x14ac:dyDescent="0.55000000000000004">
      <c r="B3" s="187" t="s">
        <v>64</v>
      </c>
      <c r="C3" s="188" t="s">
        <v>75</v>
      </c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5"/>
    </row>
    <row r="4" spans="1:38" ht="45.75" customHeight="1" x14ac:dyDescent="0.55000000000000004">
      <c r="B4" s="187" t="s">
        <v>65</v>
      </c>
      <c r="C4" s="188">
        <v>2024</v>
      </c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  <c r="AF4" s="274"/>
      <c r="AG4" s="274"/>
      <c r="AH4" s="274"/>
      <c r="AI4" s="274"/>
      <c r="AJ4" s="274"/>
      <c r="AK4" s="274"/>
      <c r="AL4" s="275"/>
    </row>
    <row r="5" spans="1:38" ht="40.5" customHeight="1" x14ac:dyDescent="0.45">
      <c r="B5" s="43">
        <f>DATEVALUE("1"&amp;C3&amp;C4)</f>
        <v>45383</v>
      </c>
      <c r="C5" s="44">
        <f>EOMONTH(B5,0)</f>
        <v>45412</v>
      </c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  <c r="AF5" s="274"/>
      <c r="AG5" s="274"/>
      <c r="AH5" s="274"/>
      <c r="AI5" s="274"/>
      <c r="AJ5" s="274"/>
      <c r="AK5" s="274"/>
      <c r="AL5" s="275"/>
    </row>
    <row r="6" spans="1:38" ht="69" customHeight="1" x14ac:dyDescent="0.55000000000000004">
      <c r="B6" s="285" t="s">
        <v>2</v>
      </c>
      <c r="C6" s="286" t="s">
        <v>3</v>
      </c>
      <c r="D6" s="185" t="str">
        <f>TEXT(D7,"DDD")</f>
        <v>Mon</v>
      </c>
      <c r="E6" s="185" t="str">
        <f t="shared" ref="E6:AG6" si="0">TEXT(E7,"DDD")</f>
        <v>Tue</v>
      </c>
      <c r="F6" s="185" t="str">
        <f t="shared" si="0"/>
        <v>Wed</v>
      </c>
      <c r="G6" s="185" t="str">
        <f t="shared" si="0"/>
        <v>Thu</v>
      </c>
      <c r="H6" s="185" t="str">
        <f t="shared" si="0"/>
        <v>Fri</v>
      </c>
      <c r="I6" s="185" t="str">
        <f t="shared" si="0"/>
        <v>Sat</v>
      </c>
      <c r="J6" s="185" t="str">
        <f t="shared" si="0"/>
        <v>Sun</v>
      </c>
      <c r="K6" s="185" t="str">
        <f t="shared" si="0"/>
        <v>Mon</v>
      </c>
      <c r="L6" s="185" t="str">
        <f t="shared" si="0"/>
        <v>Tue</v>
      </c>
      <c r="M6" s="185" t="str">
        <f t="shared" si="0"/>
        <v>Wed</v>
      </c>
      <c r="N6" s="185" t="str">
        <f t="shared" si="0"/>
        <v>Thu</v>
      </c>
      <c r="O6" s="185" t="str">
        <f t="shared" si="0"/>
        <v>Fri</v>
      </c>
      <c r="P6" s="185" t="str">
        <f t="shared" si="0"/>
        <v>Sat</v>
      </c>
      <c r="Q6" s="185" t="str">
        <f t="shared" si="0"/>
        <v>Sun</v>
      </c>
      <c r="R6" s="185" t="str">
        <f t="shared" si="0"/>
        <v>Mon</v>
      </c>
      <c r="S6" s="185" t="str">
        <f t="shared" si="0"/>
        <v>Tue</v>
      </c>
      <c r="T6" s="185" t="str">
        <f t="shared" si="0"/>
        <v>Wed</v>
      </c>
      <c r="U6" s="185" t="str">
        <f t="shared" si="0"/>
        <v>Thu</v>
      </c>
      <c r="V6" s="185" t="str">
        <f t="shared" si="0"/>
        <v>Fri</v>
      </c>
      <c r="W6" s="185" t="str">
        <f t="shared" si="0"/>
        <v>Sat</v>
      </c>
      <c r="X6" s="185" t="str">
        <f t="shared" si="0"/>
        <v>Sun</v>
      </c>
      <c r="Y6" s="185" t="str">
        <f t="shared" si="0"/>
        <v>Mon</v>
      </c>
      <c r="Z6" s="185" t="str">
        <f t="shared" si="0"/>
        <v>Tue</v>
      </c>
      <c r="AA6" s="185" t="str">
        <f t="shared" si="0"/>
        <v>Wed</v>
      </c>
      <c r="AB6" s="185" t="str">
        <f t="shared" si="0"/>
        <v>Thu</v>
      </c>
      <c r="AC6" s="185" t="str">
        <f t="shared" si="0"/>
        <v>Fri</v>
      </c>
      <c r="AD6" s="185" t="str">
        <f t="shared" si="0"/>
        <v>Sat</v>
      </c>
      <c r="AE6" s="185" t="str">
        <f t="shared" si="0"/>
        <v>Sun</v>
      </c>
      <c r="AF6" s="185" t="str">
        <f t="shared" si="0"/>
        <v>Mon</v>
      </c>
      <c r="AG6" s="185" t="str">
        <f t="shared" si="0"/>
        <v>Tue</v>
      </c>
      <c r="AH6" s="180"/>
      <c r="AI6" s="287" t="s">
        <v>69</v>
      </c>
      <c r="AJ6" s="287" t="s">
        <v>70</v>
      </c>
      <c r="AK6" s="288" t="s">
        <v>71</v>
      </c>
    </row>
    <row r="7" spans="1:38" ht="74.25" customHeight="1" x14ac:dyDescent="0.55000000000000004">
      <c r="B7" s="285"/>
      <c r="C7" s="286"/>
      <c r="D7" s="186">
        <f>B5</f>
        <v>45383</v>
      </c>
      <c r="E7" s="186">
        <f>IFERROR(IF(D7+1&gt;$C$5,"",D7+1),"")</f>
        <v>45384</v>
      </c>
      <c r="F7" s="186">
        <f t="shared" ref="F7:AG7" si="1">IFERROR(IF(E7+1&gt;$C$5,"",E7+1),"")</f>
        <v>45385</v>
      </c>
      <c r="G7" s="186">
        <f t="shared" si="1"/>
        <v>45386</v>
      </c>
      <c r="H7" s="186">
        <f t="shared" si="1"/>
        <v>45387</v>
      </c>
      <c r="I7" s="186">
        <f t="shared" si="1"/>
        <v>45388</v>
      </c>
      <c r="J7" s="186">
        <f t="shared" si="1"/>
        <v>45389</v>
      </c>
      <c r="K7" s="186">
        <f t="shared" si="1"/>
        <v>45390</v>
      </c>
      <c r="L7" s="186">
        <f t="shared" si="1"/>
        <v>45391</v>
      </c>
      <c r="M7" s="186">
        <f t="shared" si="1"/>
        <v>45392</v>
      </c>
      <c r="N7" s="186">
        <f t="shared" si="1"/>
        <v>45393</v>
      </c>
      <c r="O7" s="186">
        <f t="shared" si="1"/>
        <v>45394</v>
      </c>
      <c r="P7" s="186">
        <f t="shared" si="1"/>
        <v>45395</v>
      </c>
      <c r="Q7" s="186">
        <f t="shared" si="1"/>
        <v>45396</v>
      </c>
      <c r="R7" s="186">
        <f t="shared" si="1"/>
        <v>45397</v>
      </c>
      <c r="S7" s="186">
        <f>IFERROR(IF(R7+1&gt;$C$5,"",R7+1),"")</f>
        <v>45398</v>
      </c>
      <c r="T7" s="186">
        <f t="shared" si="1"/>
        <v>45399</v>
      </c>
      <c r="U7" s="186">
        <f t="shared" si="1"/>
        <v>45400</v>
      </c>
      <c r="V7" s="186">
        <f t="shared" si="1"/>
        <v>45401</v>
      </c>
      <c r="W7" s="186">
        <f t="shared" si="1"/>
        <v>45402</v>
      </c>
      <c r="X7" s="186">
        <f t="shared" si="1"/>
        <v>45403</v>
      </c>
      <c r="Y7" s="186">
        <f t="shared" si="1"/>
        <v>45404</v>
      </c>
      <c r="Z7" s="186">
        <f>IFERROR(IF(Y7+1&gt;$C$5,"",Y7+1),"")</f>
        <v>45405</v>
      </c>
      <c r="AA7" s="186">
        <f t="shared" si="1"/>
        <v>45406</v>
      </c>
      <c r="AB7" s="186">
        <f t="shared" si="1"/>
        <v>45407</v>
      </c>
      <c r="AC7" s="186">
        <f t="shared" si="1"/>
        <v>45408</v>
      </c>
      <c r="AD7" s="186">
        <f t="shared" si="1"/>
        <v>45409</v>
      </c>
      <c r="AE7" s="186">
        <f t="shared" si="1"/>
        <v>45410</v>
      </c>
      <c r="AF7" s="186">
        <f t="shared" si="1"/>
        <v>45411</v>
      </c>
      <c r="AG7" s="186">
        <f t="shared" si="1"/>
        <v>45412</v>
      </c>
      <c r="AH7" s="180"/>
      <c r="AI7" s="287"/>
      <c r="AJ7" s="287"/>
      <c r="AK7" s="288"/>
    </row>
    <row r="8" spans="1:38" ht="28.8" x14ac:dyDescent="0.55000000000000004">
      <c r="B8" s="177">
        <v>3427</v>
      </c>
      <c r="C8" s="178" t="s">
        <v>4</v>
      </c>
      <c r="D8" s="179" t="s">
        <v>70</v>
      </c>
      <c r="E8" s="179" t="s">
        <v>70</v>
      </c>
      <c r="F8" s="179" t="s">
        <v>70</v>
      </c>
      <c r="G8" s="179" t="s">
        <v>70</v>
      </c>
      <c r="H8" s="179" t="s">
        <v>70</v>
      </c>
      <c r="I8" s="179" t="s">
        <v>70</v>
      </c>
      <c r="J8" s="179"/>
      <c r="K8" s="179" t="s">
        <v>70</v>
      </c>
      <c r="L8" s="179" t="s">
        <v>70</v>
      </c>
      <c r="M8" s="179" t="s">
        <v>70</v>
      </c>
      <c r="N8" s="179" t="s">
        <v>70</v>
      </c>
      <c r="O8" s="179" t="s">
        <v>70</v>
      </c>
      <c r="P8" s="179" t="s">
        <v>70</v>
      </c>
      <c r="Q8" s="179"/>
      <c r="R8" s="179" t="s">
        <v>70</v>
      </c>
      <c r="S8" s="179" t="s">
        <v>70</v>
      </c>
      <c r="T8" s="179" t="s">
        <v>70</v>
      </c>
      <c r="U8" s="179" t="s">
        <v>70</v>
      </c>
      <c r="V8" s="179" t="s">
        <v>70</v>
      </c>
      <c r="W8" s="179" t="s">
        <v>70</v>
      </c>
      <c r="X8" s="179"/>
      <c r="Y8" s="179" t="s">
        <v>70</v>
      </c>
      <c r="Z8" s="179" t="s">
        <v>70</v>
      </c>
      <c r="AA8" s="179" t="s">
        <v>70</v>
      </c>
      <c r="AB8" s="179" t="s">
        <v>70</v>
      </c>
      <c r="AC8" s="179" t="s">
        <v>70</v>
      </c>
      <c r="AD8" s="179" t="s">
        <v>70</v>
      </c>
      <c r="AE8" s="179"/>
      <c r="AF8" s="179" t="s">
        <v>70</v>
      </c>
      <c r="AG8" s="179" t="s">
        <v>70</v>
      </c>
      <c r="AH8" s="180"/>
      <c r="AI8" s="179">
        <f>SUM(AJ8,AK8)</f>
        <v>26</v>
      </c>
      <c r="AJ8" s="179">
        <f t="shared" ref="AJ8:AJ27" si="2">COUNTIF(D8:AG8,AJ$6)</f>
        <v>26</v>
      </c>
      <c r="AK8" s="181">
        <f t="shared" ref="AK8:AK27" si="3">COUNTIF(E8:AH8,AK$6)</f>
        <v>0</v>
      </c>
    </row>
    <row r="9" spans="1:38" ht="28.8" x14ac:dyDescent="0.55000000000000004">
      <c r="B9" s="177">
        <v>3428</v>
      </c>
      <c r="C9" s="178" t="s">
        <v>5</v>
      </c>
      <c r="D9" s="179" t="s">
        <v>70</v>
      </c>
      <c r="E9" s="179" t="s">
        <v>70</v>
      </c>
      <c r="F9" s="179" t="s">
        <v>70</v>
      </c>
      <c r="G9" s="179" t="s">
        <v>70</v>
      </c>
      <c r="H9" s="179" t="s">
        <v>70</v>
      </c>
      <c r="I9" s="179" t="s">
        <v>70</v>
      </c>
      <c r="J9" s="179"/>
      <c r="K9" s="179" t="s">
        <v>70</v>
      </c>
      <c r="L9" s="179" t="s">
        <v>70</v>
      </c>
      <c r="M9" s="179" t="s">
        <v>70</v>
      </c>
      <c r="N9" s="179" t="s">
        <v>70</v>
      </c>
      <c r="O9" s="179" t="s">
        <v>70</v>
      </c>
      <c r="P9" s="179" t="s">
        <v>70</v>
      </c>
      <c r="Q9" s="179"/>
      <c r="R9" s="179" t="s">
        <v>70</v>
      </c>
      <c r="S9" s="179" t="s">
        <v>70</v>
      </c>
      <c r="T9" s="179" t="s">
        <v>70</v>
      </c>
      <c r="U9" s="179" t="s">
        <v>70</v>
      </c>
      <c r="V9" s="179" t="s">
        <v>70</v>
      </c>
      <c r="W9" s="179" t="s">
        <v>70</v>
      </c>
      <c r="X9" s="179"/>
      <c r="Y9" s="179" t="s">
        <v>70</v>
      </c>
      <c r="Z9" s="179" t="s">
        <v>70</v>
      </c>
      <c r="AA9" s="179" t="s">
        <v>70</v>
      </c>
      <c r="AB9" s="179" t="s">
        <v>70</v>
      </c>
      <c r="AC9" s="179" t="s">
        <v>70</v>
      </c>
      <c r="AD9" s="179" t="s">
        <v>70</v>
      </c>
      <c r="AE9" s="179"/>
      <c r="AF9" s="179" t="s">
        <v>70</v>
      </c>
      <c r="AG9" s="179" t="s">
        <v>71</v>
      </c>
      <c r="AH9" s="180"/>
      <c r="AI9" s="179">
        <f t="shared" ref="AI9:AI27" si="4">SUM(AJ9,AK9)</f>
        <v>26</v>
      </c>
      <c r="AJ9" s="179">
        <f t="shared" si="2"/>
        <v>25</v>
      </c>
      <c r="AK9" s="181">
        <f t="shared" si="3"/>
        <v>1</v>
      </c>
    </row>
    <row r="10" spans="1:38" ht="28.8" x14ac:dyDescent="0.55000000000000004">
      <c r="B10" s="177">
        <v>3429</v>
      </c>
      <c r="C10" s="178" t="s">
        <v>6</v>
      </c>
      <c r="D10" s="179" t="s">
        <v>70</v>
      </c>
      <c r="E10" s="179" t="s">
        <v>70</v>
      </c>
      <c r="F10" s="179" t="s">
        <v>70</v>
      </c>
      <c r="G10" s="179" t="s">
        <v>70</v>
      </c>
      <c r="H10" s="179" t="s">
        <v>71</v>
      </c>
      <c r="I10" s="179" t="s">
        <v>70</v>
      </c>
      <c r="J10" s="179"/>
      <c r="K10" s="179" t="s">
        <v>70</v>
      </c>
      <c r="L10" s="179" t="s">
        <v>70</v>
      </c>
      <c r="M10" s="179" t="s">
        <v>71</v>
      </c>
      <c r="N10" s="179" t="s">
        <v>70</v>
      </c>
      <c r="O10" s="179" t="s">
        <v>70</v>
      </c>
      <c r="P10" s="179" t="s">
        <v>70</v>
      </c>
      <c r="Q10" s="179"/>
      <c r="R10" s="179" t="s">
        <v>70</v>
      </c>
      <c r="S10" s="179" t="s">
        <v>70</v>
      </c>
      <c r="T10" s="179" t="s">
        <v>70</v>
      </c>
      <c r="U10" s="179" t="s">
        <v>70</v>
      </c>
      <c r="V10" s="179" t="s">
        <v>70</v>
      </c>
      <c r="W10" s="179" t="s">
        <v>70</v>
      </c>
      <c r="X10" s="179"/>
      <c r="Y10" s="179" t="s">
        <v>70</v>
      </c>
      <c r="Z10" s="179" t="s">
        <v>70</v>
      </c>
      <c r="AA10" s="179" t="s">
        <v>70</v>
      </c>
      <c r="AB10" s="179" t="s">
        <v>70</v>
      </c>
      <c r="AC10" s="179" t="s">
        <v>70</v>
      </c>
      <c r="AD10" s="179" t="s">
        <v>70</v>
      </c>
      <c r="AE10" s="179"/>
      <c r="AF10" s="179" t="s">
        <v>70</v>
      </c>
      <c r="AG10" s="179" t="s">
        <v>70</v>
      </c>
      <c r="AH10" s="180"/>
      <c r="AI10" s="179">
        <f t="shared" si="4"/>
        <v>26</v>
      </c>
      <c r="AJ10" s="179">
        <f t="shared" si="2"/>
        <v>24</v>
      </c>
      <c r="AK10" s="181">
        <f t="shared" si="3"/>
        <v>2</v>
      </c>
    </row>
    <row r="11" spans="1:38" ht="28.8" x14ac:dyDescent="0.55000000000000004">
      <c r="B11" s="177">
        <v>3430</v>
      </c>
      <c r="C11" s="178" t="s">
        <v>7</v>
      </c>
      <c r="D11" s="179" t="s">
        <v>70</v>
      </c>
      <c r="E11" s="179" t="s">
        <v>70</v>
      </c>
      <c r="F11" s="179" t="s">
        <v>70</v>
      </c>
      <c r="G11" s="179" t="s">
        <v>70</v>
      </c>
      <c r="H11" s="179" t="s">
        <v>70</v>
      </c>
      <c r="I11" s="179" t="s">
        <v>70</v>
      </c>
      <c r="J11" s="179"/>
      <c r="K11" s="179" t="s">
        <v>70</v>
      </c>
      <c r="L11" s="179" t="s">
        <v>70</v>
      </c>
      <c r="M11" s="179" t="s">
        <v>70</v>
      </c>
      <c r="N11" s="179" t="s">
        <v>70</v>
      </c>
      <c r="O11" s="179" t="s">
        <v>70</v>
      </c>
      <c r="P11" s="179" t="s">
        <v>70</v>
      </c>
      <c r="Q11" s="179"/>
      <c r="R11" s="179" t="s">
        <v>70</v>
      </c>
      <c r="S11" s="179" t="s">
        <v>70</v>
      </c>
      <c r="T11" s="179" t="s">
        <v>71</v>
      </c>
      <c r="U11" s="179" t="s">
        <v>70</v>
      </c>
      <c r="V11" s="179" t="s">
        <v>70</v>
      </c>
      <c r="W11" s="179" t="s">
        <v>70</v>
      </c>
      <c r="X11" s="179"/>
      <c r="Y11" s="179" t="s">
        <v>70</v>
      </c>
      <c r="Z11" s="179" t="s">
        <v>70</v>
      </c>
      <c r="AA11" s="179" t="s">
        <v>70</v>
      </c>
      <c r="AB11" s="179" t="s">
        <v>70</v>
      </c>
      <c r="AC11" s="179" t="s">
        <v>70</v>
      </c>
      <c r="AD11" s="179" t="s">
        <v>70</v>
      </c>
      <c r="AE11" s="179"/>
      <c r="AF11" s="179" t="s">
        <v>70</v>
      </c>
      <c r="AG11" s="179" t="s">
        <v>70</v>
      </c>
      <c r="AH11" s="180"/>
      <c r="AI11" s="179">
        <f t="shared" si="4"/>
        <v>26</v>
      </c>
      <c r="AJ11" s="179">
        <f t="shared" si="2"/>
        <v>25</v>
      </c>
      <c r="AK11" s="181">
        <f t="shared" si="3"/>
        <v>1</v>
      </c>
    </row>
    <row r="12" spans="1:38" ht="28.8" x14ac:dyDescent="0.55000000000000004">
      <c r="B12" s="177">
        <v>3431</v>
      </c>
      <c r="C12" s="178" t="s">
        <v>8</v>
      </c>
      <c r="D12" s="179" t="s">
        <v>70</v>
      </c>
      <c r="E12" s="179" t="s">
        <v>70</v>
      </c>
      <c r="F12" s="179" t="s">
        <v>70</v>
      </c>
      <c r="G12" s="179" t="s">
        <v>70</v>
      </c>
      <c r="H12" s="179" t="s">
        <v>70</v>
      </c>
      <c r="I12" s="179" t="s">
        <v>70</v>
      </c>
      <c r="J12" s="179"/>
      <c r="K12" s="179" t="s">
        <v>70</v>
      </c>
      <c r="L12" s="179" t="s">
        <v>70</v>
      </c>
      <c r="M12" s="179" t="s">
        <v>70</v>
      </c>
      <c r="N12" s="179" t="s">
        <v>70</v>
      </c>
      <c r="O12" s="179" t="s">
        <v>70</v>
      </c>
      <c r="P12" s="179" t="s">
        <v>70</v>
      </c>
      <c r="Q12" s="179"/>
      <c r="R12" s="179" t="s">
        <v>70</v>
      </c>
      <c r="S12" s="179" t="s">
        <v>70</v>
      </c>
      <c r="T12" s="179" t="s">
        <v>70</v>
      </c>
      <c r="U12" s="179" t="s">
        <v>70</v>
      </c>
      <c r="V12" s="179" t="s">
        <v>70</v>
      </c>
      <c r="W12" s="179" t="s">
        <v>70</v>
      </c>
      <c r="X12" s="179"/>
      <c r="Y12" s="179" t="s">
        <v>70</v>
      </c>
      <c r="Z12" s="179" t="s">
        <v>71</v>
      </c>
      <c r="AA12" s="179" t="s">
        <v>70</v>
      </c>
      <c r="AB12" s="179" t="s">
        <v>70</v>
      </c>
      <c r="AC12" s="179" t="s">
        <v>70</v>
      </c>
      <c r="AD12" s="179" t="s">
        <v>70</v>
      </c>
      <c r="AE12" s="179"/>
      <c r="AF12" s="179" t="s">
        <v>71</v>
      </c>
      <c r="AG12" s="179" t="s">
        <v>70</v>
      </c>
      <c r="AH12" s="180"/>
      <c r="AI12" s="179">
        <f t="shared" si="4"/>
        <v>26</v>
      </c>
      <c r="AJ12" s="179">
        <f t="shared" si="2"/>
        <v>24</v>
      </c>
      <c r="AK12" s="181">
        <f t="shared" si="3"/>
        <v>2</v>
      </c>
    </row>
    <row r="13" spans="1:38" ht="28.8" x14ac:dyDescent="0.55000000000000004">
      <c r="B13" s="177">
        <v>3432</v>
      </c>
      <c r="C13" s="178" t="s">
        <v>9</v>
      </c>
      <c r="D13" s="179" t="s">
        <v>70</v>
      </c>
      <c r="E13" s="179" t="s">
        <v>70</v>
      </c>
      <c r="F13" s="179" t="s">
        <v>70</v>
      </c>
      <c r="G13" s="179" t="s">
        <v>70</v>
      </c>
      <c r="H13" s="179" t="s">
        <v>70</v>
      </c>
      <c r="I13" s="179" t="s">
        <v>70</v>
      </c>
      <c r="J13" s="179"/>
      <c r="K13" s="179" t="s">
        <v>70</v>
      </c>
      <c r="L13" s="179" t="s">
        <v>70</v>
      </c>
      <c r="M13" s="179" t="s">
        <v>70</v>
      </c>
      <c r="N13" s="179" t="s">
        <v>70</v>
      </c>
      <c r="O13" s="179" t="s">
        <v>70</v>
      </c>
      <c r="P13" s="179" t="s">
        <v>70</v>
      </c>
      <c r="Q13" s="179"/>
      <c r="R13" s="179" t="s">
        <v>70</v>
      </c>
      <c r="S13" s="179" t="s">
        <v>70</v>
      </c>
      <c r="T13" s="179" t="s">
        <v>70</v>
      </c>
      <c r="U13" s="179" t="s">
        <v>70</v>
      </c>
      <c r="V13" s="179" t="s">
        <v>70</v>
      </c>
      <c r="W13" s="179" t="s">
        <v>70</v>
      </c>
      <c r="X13" s="179"/>
      <c r="Y13" s="179" t="s">
        <v>70</v>
      </c>
      <c r="Z13" s="179" t="s">
        <v>70</v>
      </c>
      <c r="AA13" s="179" t="s">
        <v>70</v>
      </c>
      <c r="AB13" s="179" t="s">
        <v>70</v>
      </c>
      <c r="AC13" s="179" t="s">
        <v>70</v>
      </c>
      <c r="AD13" s="179" t="s">
        <v>70</v>
      </c>
      <c r="AE13" s="179"/>
      <c r="AF13" s="179" t="s">
        <v>70</v>
      </c>
      <c r="AG13" s="179" t="s">
        <v>70</v>
      </c>
      <c r="AH13" s="180"/>
      <c r="AI13" s="179">
        <f t="shared" si="4"/>
        <v>26</v>
      </c>
      <c r="AJ13" s="179">
        <f t="shared" si="2"/>
        <v>26</v>
      </c>
      <c r="AK13" s="181">
        <f t="shared" si="3"/>
        <v>0</v>
      </c>
    </row>
    <row r="14" spans="1:38" ht="28.8" x14ac:dyDescent="0.55000000000000004">
      <c r="B14" s="177">
        <v>3433</v>
      </c>
      <c r="C14" s="178" t="s">
        <v>10</v>
      </c>
      <c r="D14" s="179" t="s">
        <v>70</v>
      </c>
      <c r="E14" s="179" t="s">
        <v>70</v>
      </c>
      <c r="F14" s="179" t="s">
        <v>70</v>
      </c>
      <c r="G14" s="179" t="s">
        <v>70</v>
      </c>
      <c r="H14" s="179" t="s">
        <v>70</v>
      </c>
      <c r="I14" s="179" t="s">
        <v>70</v>
      </c>
      <c r="J14" s="179"/>
      <c r="K14" s="179" t="s">
        <v>70</v>
      </c>
      <c r="L14" s="179" t="s">
        <v>70</v>
      </c>
      <c r="M14" s="179" t="s">
        <v>70</v>
      </c>
      <c r="N14" s="179" t="s">
        <v>70</v>
      </c>
      <c r="O14" s="179" t="s">
        <v>70</v>
      </c>
      <c r="P14" s="179" t="s">
        <v>70</v>
      </c>
      <c r="Q14" s="179"/>
      <c r="R14" s="179" t="s">
        <v>70</v>
      </c>
      <c r="S14" s="179" t="s">
        <v>70</v>
      </c>
      <c r="T14" s="179" t="s">
        <v>70</v>
      </c>
      <c r="U14" s="179" t="s">
        <v>70</v>
      </c>
      <c r="V14" s="179" t="s">
        <v>70</v>
      </c>
      <c r="W14" s="179" t="s">
        <v>70</v>
      </c>
      <c r="X14" s="179"/>
      <c r="Y14" s="179" t="s">
        <v>70</v>
      </c>
      <c r="Z14" s="179" t="s">
        <v>70</v>
      </c>
      <c r="AA14" s="179" t="s">
        <v>70</v>
      </c>
      <c r="AB14" s="179" t="s">
        <v>70</v>
      </c>
      <c r="AC14" s="179" t="s">
        <v>70</v>
      </c>
      <c r="AD14" s="179" t="s">
        <v>70</v>
      </c>
      <c r="AE14" s="179"/>
      <c r="AF14" s="179" t="s">
        <v>70</v>
      </c>
      <c r="AG14" s="179" t="s">
        <v>70</v>
      </c>
      <c r="AH14" s="180"/>
      <c r="AI14" s="179">
        <f t="shared" si="4"/>
        <v>26</v>
      </c>
      <c r="AJ14" s="179">
        <f t="shared" si="2"/>
        <v>26</v>
      </c>
      <c r="AK14" s="181">
        <f t="shared" si="3"/>
        <v>0</v>
      </c>
    </row>
    <row r="15" spans="1:38" ht="28.8" x14ac:dyDescent="0.55000000000000004">
      <c r="B15" s="177">
        <v>3434</v>
      </c>
      <c r="C15" s="178" t="s">
        <v>11</v>
      </c>
      <c r="D15" s="179" t="s">
        <v>70</v>
      </c>
      <c r="E15" s="179" t="s">
        <v>70</v>
      </c>
      <c r="F15" s="179" t="s">
        <v>71</v>
      </c>
      <c r="G15" s="179" t="s">
        <v>70</v>
      </c>
      <c r="H15" s="179" t="s">
        <v>70</v>
      </c>
      <c r="I15" s="179" t="s">
        <v>70</v>
      </c>
      <c r="J15" s="179"/>
      <c r="K15" s="179" t="s">
        <v>70</v>
      </c>
      <c r="L15" s="179" t="s">
        <v>70</v>
      </c>
      <c r="M15" s="179" t="s">
        <v>70</v>
      </c>
      <c r="N15" s="179" t="s">
        <v>70</v>
      </c>
      <c r="O15" s="179" t="s">
        <v>70</v>
      </c>
      <c r="P15" s="179" t="s">
        <v>70</v>
      </c>
      <c r="Q15" s="179"/>
      <c r="R15" s="179" t="s">
        <v>70</v>
      </c>
      <c r="S15" s="179" t="s">
        <v>70</v>
      </c>
      <c r="T15" s="179" t="s">
        <v>70</v>
      </c>
      <c r="U15" s="179" t="s">
        <v>70</v>
      </c>
      <c r="V15" s="179" t="s">
        <v>70</v>
      </c>
      <c r="W15" s="179" t="s">
        <v>70</v>
      </c>
      <c r="X15" s="179"/>
      <c r="Y15" s="179" t="s">
        <v>70</v>
      </c>
      <c r="Z15" s="179" t="s">
        <v>70</v>
      </c>
      <c r="AA15" s="179" t="s">
        <v>70</v>
      </c>
      <c r="AB15" s="179" t="s">
        <v>70</v>
      </c>
      <c r="AC15" s="179" t="s">
        <v>70</v>
      </c>
      <c r="AD15" s="179" t="s">
        <v>70</v>
      </c>
      <c r="AE15" s="179"/>
      <c r="AF15" s="179" t="s">
        <v>70</v>
      </c>
      <c r="AG15" s="179" t="s">
        <v>70</v>
      </c>
      <c r="AH15" s="180"/>
      <c r="AI15" s="179">
        <f t="shared" si="4"/>
        <v>26</v>
      </c>
      <c r="AJ15" s="179">
        <f t="shared" si="2"/>
        <v>25</v>
      </c>
      <c r="AK15" s="181">
        <f t="shared" si="3"/>
        <v>1</v>
      </c>
    </row>
    <row r="16" spans="1:38" ht="28.8" x14ac:dyDescent="0.55000000000000004">
      <c r="B16" s="177">
        <v>3435</v>
      </c>
      <c r="C16" s="178" t="s">
        <v>12</v>
      </c>
      <c r="D16" s="179" t="s">
        <v>70</v>
      </c>
      <c r="E16" s="179" t="s">
        <v>70</v>
      </c>
      <c r="F16" s="179" t="s">
        <v>70</v>
      </c>
      <c r="G16" s="179" t="s">
        <v>70</v>
      </c>
      <c r="H16" s="179" t="s">
        <v>70</v>
      </c>
      <c r="I16" s="179" t="s">
        <v>70</v>
      </c>
      <c r="J16" s="179"/>
      <c r="K16" s="179" t="s">
        <v>70</v>
      </c>
      <c r="L16" s="179" t="s">
        <v>70</v>
      </c>
      <c r="M16" s="179" t="s">
        <v>70</v>
      </c>
      <c r="N16" s="179" t="s">
        <v>70</v>
      </c>
      <c r="O16" s="179" t="s">
        <v>70</v>
      </c>
      <c r="P16" s="179" t="s">
        <v>70</v>
      </c>
      <c r="Q16" s="179"/>
      <c r="R16" s="179" t="s">
        <v>70</v>
      </c>
      <c r="S16" s="179" t="s">
        <v>70</v>
      </c>
      <c r="T16" s="179" t="s">
        <v>70</v>
      </c>
      <c r="U16" s="179" t="s">
        <v>70</v>
      </c>
      <c r="V16" s="179" t="s">
        <v>70</v>
      </c>
      <c r="W16" s="179" t="s">
        <v>70</v>
      </c>
      <c r="X16" s="179"/>
      <c r="Y16" s="179" t="s">
        <v>70</v>
      </c>
      <c r="Z16" s="179" t="s">
        <v>70</v>
      </c>
      <c r="AA16" s="179" t="s">
        <v>70</v>
      </c>
      <c r="AB16" s="179" t="s">
        <v>71</v>
      </c>
      <c r="AC16" s="179" t="s">
        <v>70</v>
      </c>
      <c r="AD16" s="179" t="s">
        <v>70</v>
      </c>
      <c r="AE16" s="179"/>
      <c r="AF16" s="179" t="s">
        <v>70</v>
      </c>
      <c r="AG16" s="179" t="s">
        <v>70</v>
      </c>
      <c r="AH16" s="180"/>
      <c r="AI16" s="179">
        <f t="shared" si="4"/>
        <v>26</v>
      </c>
      <c r="AJ16" s="179">
        <f t="shared" si="2"/>
        <v>25</v>
      </c>
      <c r="AK16" s="181">
        <f t="shared" si="3"/>
        <v>1</v>
      </c>
    </row>
    <row r="17" spans="2:37" ht="28.8" x14ac:dyDescent="0.55000000000000004">
      <c r="B17" s="177">
        <v>3436</v>
      </c>
      <c r="C17" s="178" t="s">
        <v>13</v>
      </c>
      <c r="D17" s="179" t="s">
        <v>70</v>
      </c>
      <c r="E17" s="179" t="s">
        <v>70</v>
      </c>
      <c r="F17" s="179" t="s">
        <v>70</v>
      </c>
      <c r="G17" s="179" t="s">
        <v>70</v>
      </c>
      <c r="H17" s="179" t="s">
        <v>70</v>
      </c>
      <c r="I17" s="179" t="s">
        <v>70</v>
      </c>
      <c r="J17" s="179"/>
      <c r="K17" s="179" t="s">
        <v>70</v>
      </c>
      <c r="L17" s="179" t="s">
        <v>70</v>
      </c>
      <c r="M17" s="179" t="s">
        <v>70</v>
      </c>
      <c r="N17" s="179" t="s">
        <v>70</v>
      </c>
      <c r="O17" s="179" t="s">
        <v>71</v>
      </c>
      <c r="P17" s="179" t="s">
        <v>70</v>
      </c>
      <c r="Q17" s="179"/>
      <c r="R17" s="179" t="s">
        <v>70</v>
      </c>
      <c r="S17" s="179" t="s">
        <v>70</v>
      </c>
      <c r="T17" s="179" t="s">
        <v>70</v>
      </c>
      <c r="U17" s="179" t="s">
        <v>70</v>
      </c>
      <c r="V17" s="179" t="s">
        <v>71</v>
      </c>
      <c r="W17" s="179" t="s">
        <v>70</v>
      </c>
      <c r="X17" s="179"/>
      <c r="Y17" s="179" t="s">
        <v>70</v>
      </c>
      <c r="Z17" s="179" t="s">
        <v>70</v>
      </c>
      <c r="AA17" s="179" t="s">
        <v>70</v>
      </c>
      <c r="AB17" s="179" t="s">
        <v>70</v>
      </c>
      <c r="AC17" s="179" t="s">
        <v>70</v>
      </c>
      <c r="AD17" s="179" t="s">
        <v>70</v>
      </c>
      <c r="AE17" s="179"/>
      <c r="AF17" s="179" t="s">
        <v>70</v>
      </c>
      <c r="AG17" s="179" t="s">
        <v>71</v>
      </c>
      <c r="AH17" s="180"/>
      <c r="AI17" s="179">
        <f t="shared" si="4"/>
        <v>26</v>
      </c>
      <c r="AJ17" s="179">
        <f t="shared" si="2"/>
        <v>23</v>
      </c>
      <c r="AK17" s="181">
        <f t="shared" si="3"/>
        <v>3</v>
      </c>
    </row>
    <row r="18" spans="2:37" ht="28.8" x14ac:dyDescent="0.55000000000000004">
      <c r="B18" s="177">
        <v>3437</v>
      </c>
      <c r="C18" s="178" t="s">
        <v>14</v>
      </c>
      <c r="D18" s="179" t="s">
        <v>70</v>
      </c>
      <c r="E18" s="179" t="s">
        <v>70</v>
      </c>
      <c r="F18" s="179" t="s">
        <v>70</v>
      </c>
      <c r="G18" s="179" t="s">
        <v>70</v>
      </c>
      <c r="H18" s="179" t="s">
        <v>70</v>
      </c>
      <c r="I18" s="179" t="s">
        <v>70</v>
      </c>
      <c r="J18" s="179"/>
      <c r="K18" s="179" t="s">
        <v>70</v>
      </c>
      <c r="L18" s="179" t="s">
        <v>70</v>
      </c>
      <c r="M18" s="179" t="s">
        <v>70</v>
      </c>
      <c r="N18" s="179" t="s">
        <v>70</v>
      </c>
      <c r="O18" s="179" t="s">
        <v>70</v>
      </c>
      <c r="P18" s="179" t="s">
        <v>70</v>
      </c>
      <c r="Q18" s="179"/>
      <c r="R18" s="179" t="s">
        <v>70</v>
      </c>
      <c r="S18" s="179" t="s">
        <v>70</v>
      </c>
      <c r="T18" s="179" t="s">
        <v>70</v>
      </c>
      <c r="U18" s="179" t="s">
        <v>70</v>
      </c>
      <c r="V18" s="179" t="s">
        <v>70</v>
      </c>
      <c r="W18" s="179" t="s">
        <v>70</v>
      </c>
      <c r="X18" s="179"/>
      <c r="Y18" s="179" t="s">
        <v>70</v>
      </c>
      <c r="Z18" s="179" t="s">
        <v>70</v>
      </c>
      <c r="AA18" s="179" t="s">
        <v>70</v>
      </c>
      <c r="AB18" s="179" t="s">
        <v>70</v>
      </c>
      <c r="AC18" s="179" t="s">
        <v>70</v>
      </c>
      <c r="AD18" s="179" t="s">
        <v>70</v>
      </c>
      <c r="AE18" s="179"/>
      <c r="AF18" s="179" t="s">
        <v>70</v>
      </c>
      <c r="AG18" s="179" t="s">
        <v>70</v>
      </c>
      <c r="AH18" s="180"/>
      <c r="AI18" s="179">
        <f t="shared" si="4"/>
        <v>26</v>
      </c>
      <c r="AJ18" s="179">
        <f t="shared" si="2"/>
        <v>26</v>
      </c>
      <c r="AK18" s="181">
        <f t="shared" si="3"/>
        <v>0</v>
      </c>
    </row>
    <row r="19" spans="2:37" ht="28.8" x14ac:dyDescent="0.55000000000000004">
      <c r="B19" s="177">
        <v>3438</v>
      </c>
      <c r="C19" s="178" t="s">
        <v>15</v>
      </c>
      <c r="D19" s="179" t="s">
        <v>70</v>
      </c>
      <c r="E19" s="179" t="s">
        <v>70</v>
      </c>
      <c r="F19" s="179" t="s">
        <v>70</v>
      </c>
      <c r="G19" s="179" t="s">
        <v>70</v>
      </c>
      <c r="H19" s="179" t="s">
        <v>70</v>
      </c>
      <c r="I19" s="179" t="s">
        <v>70</v>
      </c>
      <c r="J19" s="179"/>
      <c r="K19" s="179" t="s">
        <v>70</v>
      </c>
      <c r="L19" s="179" t="s">
        <v>70</v>
      </c>
      <c r="M19" s="179" t="s">
        <v>70</v>
      </c>
      <c r="N19" s="179" t="s">
        <v>70</v>
      </c>
      <c r="O19" s="179" t="s">
        <v>70</v>
      </c>
      <c r="P19" s="179" t="s">
        <v>70</v>
      </c>
      <c r="Q19" s="179"/>
      <c r="R19" s="179" t="s">
        <v>70</v>
      </c>
      <c r="S19" s="179" t="s">
        <v>71</v>
      </c>
      <c r="T19" s="179" t="s">
        <v>70</v>
      </c>
      <c r="U19" s="179" t="s">
        <v>70</v>
      </c>
      <c r="V19" s="179" t="s">
        <v>70</v>
      </c>
      <c r="W19" s="179" t="s">
        <v>70</v>
      </c>
      <c r="X19" s="179"/>
      <c r="Y19" s="179" t="s">
        <v>70</v>
      </c>
      <c r="Z19" s="179" t="s">
        <v>70</v>
      </c>
      <c r="AA19" s="179" t="s">
        <v>70</v>
      </c>
      <c r="AB19" s="179" t="s">
        <v>70</v>
      </c>
      <c r="AC19" s="179" t="s">
        <v>70</v>
      </c>
      <c r="AD19" s="179" t="s">
        <v>70</v>
      </c>
      <c r="AE19" s="179"/>
      <c r="AF19" s="179" t="s">
        <v>70</v>
      </c>
      <c r="AG19" s="179" t="s">
        <v>70</v>
      </c>
      <c r="AH19" s="180"/>
      <c r="AI19" s="179">
        <f t="shared" si="4"/>
        <v>26</v>
      </c>
      <c r="AJ19" s="179">
        <f t="shared" si="2"/>
        <v>25</v>
      </c>
      <c r="AK19" s="181">
        <f t="shared" si="3"/>
        <v>1</v>
      </c>
    </row>
    <row r="20" spans="2:37" ht="28.8" x14ac:dyDescent="0.55000000000000004">
      <c r="B20" s="177">
        <v>3439</v>
      </c>
      <c r="C20" s="178" t="s">
        <v>16</v>
      </c>
      <c r="D20" s="179" t="s">
        <v>70</v>
      </c>
      <c r="E20" s="179" t="s">
        <v>70</v>
      </c>
      <c r="F20" s="179" t="s">
        <v>70</v>
      </c>
      <c r="G20" s="179" t="s">
        <v>70</v>
      </c>
      <c r="H20" s="179" t="s">
        <v>70</v>
      </c>
      <c r="I20" s="179" t="s">
        <v>70</v>
      </c>
      <c r="J20" s="179"/>
      <c r="K20" s="179" t="s">
        <v>70</v>
      </c>
      <c r="L20" s="179" t="s">
        <v>70</v>
      </c>
      <c r="M20" s="179" t="s">
        <v>70</v>
      </c>
      <c r="N20" s="179" t="s">
        <v>70</v>
      </c>
      <c r="O20" s="179" t="s">
        <v>70</v>
      </c>
      <c r="P20" s="179" t="s">
        <v>70</v>
      </c>
      <c r="Q20" s="179"/>
      <c r="R20" s="179" t="s">
        <v>70</v>
      </c>
      <c r="S20" s="179" t="s">
        <v>70</v>
      </c>
      <c r="T20" s="179" t="s">
        <v>70</v>
      </c>
      <c r="U20" s="179" t="s">
        <v>70</v>
      </c>
      <c r="V20" s="179" t="s">
        <v>70</v>
      </c>
      <c r="W20" s="179" t="s">
        <v>70</v>
      </c>
      <c r="X20" s="179"/>
      <c r="Y20" s="179" t="s">
        <v>70</v>
      </c>
      <c r="Z20" s="179" t="s">
        <v>71</v>
      </c>
      <c r="AA20" s="179" t="s">
        <v>70</v>
      </c>
      <c r="AB20" s="179" t="s">
        <v>70</v>
      </c>
      <c r="AC20" s="179" t="s">
        <v>70</v>
      </c>
      <c r="AD20" s="179" t="s">
        <v>70</v>
      </c>
      <c r="AE20" s="179"/>
      <c r="AF20" s="179" t="s">
        <v>70</v>
      </c>
      <c r="AG20" s="179" t="s">
        <v>70</v>
      </c>
      <c r="AH20" s="180"/>
      <c r="AI20" s="179">
        <f t="shared" si="4"/>
        <v>26</v>
      </c>
      <c r="AJ20" s="179">
        <f t="shared" si="2"/>
        <v>25</v>
      </c>
      <c r="AK20" s="181">
        <f t="shared" si="3"/>
        <v>1</v>
      </c>
    </row>
    <row r="21" spans="2:37" ht="28.8" x14ac:dyDescent="0.55000000000000004">
      <c r="B21" s="177">
        <v>3440</v>
      </c>
      <c r="C21" s="178" t="s">
        <v>17</v>
      </c>
      <c r="D21" s="179" t="s">
        <v>70</v>
      </c>
      <c r="E21" s="179" t="s">
        <v>70</v>
      </c>
      <c r="F21" s="179" t="s">
        <v>70</v>
      </c>
      <c r="G21" s="179" t="s">
        <v>71</v>
      </c>
      <c r="H21" s="179" t="s">
        <v>70</v>
      </c>
      <c r="I21" s="179" t="s">
        <v>70</v>
      </c>
      <c r="J21" s="179"/>
      <c r="K21" s="179" t="s">
        <v>70</v>
      </c>
      <c r="L21" s="179" t="s">
        <v>70</v>
      </c>
      <c r="M21" s="179" t="s">
        <v>70</v>
      </c>
      <c r="N21" s="179" t="s">
        <v>70</v>
      </c>
      <c r="O21" s="179" t="s">
        <v>70</v>
      </c>
      <c r="P21" s="179" t="s">
        <v>70</v>
      </c>
      <c r="Q21" s="179"/>
      <c r="R21" s="179" t="s">
        <v>70</v>
      </c>
      <c r="S21" s="179" t="s">
        <v>70</v>
      </c>
      <c r="T21" s="179" t="s">
        <v>70</v>
      </c>
      <c r="U21" s="179" t="s">
        <v>70</v>
      </c>
      <c r="V21" s="179" t="s">
        <v>70</v>
      </c>
      <c r="W21" s="179" t="s">
        <v>70</v>
      </c>
      <c r="X21" s="179"/>
      <c r="Y21" s="179" t="s">
        <v>70</v>
      </c>
      <c r="Z21" s="179" t="s">
        <v>70</v>
      </c>
      <c r="AA21" s="179" t="s">
        <v>70</v>
      </c>
      <c r="AB21" s="179" t="s">
        <v>70</v>
      </c>
      <c r="AC21" s="179" t="s">
        <v>70</v>
      </c>
      <c r="AD21" s="179" t="s">
        <v>70</v>
      </c>
      <c r="AE21" s="179"/>
      <c r="AF21" s="179" t="s">
        <v>70</v>
      </c>
      <c r="AG21" s="179" t="s">
        <v>70</v>
      </c>
      <c r="AH21" s="180"/>
      <c r="AI21" s="179">
        <f t="shared" si="4"/>
        <v>26</v>
      </c>
      <c r="AJ21" s="179">
        <f t="shared" si="2"/>
        <v>25</v>
      </c>
      <c r="AK21" s="181">
        <f t="shared" si="3"/>
        <v>1</v>
      </c>
    </row>
    <row r="22" spans="2:37" ht="28.8" x14ac:dyDescent="0.55000000000000004">
      <c r="B22" s="177">
        <v>3441</v>
      </c>
      <c r="C22" s="178" t="s">
        <v>18</v>
      </c>
      <c r="D22" s="179" t="s">
        <v>70</v>
      </c>
      <c r="E22" s="179" t="s">
        <v>70</v>
      </c>
      <c r="F22" s="179" t="s">
        <v>70</v>
      </c>
      <c r="G22" s="179" t="s">
        <v>70</v>
      </c>
      <c r="H22" s="179" t="s">
        <v>70</v>
      </c>
      <c r="I22" s="179" t="s">
        <v>70</v>
      </c>
      <c r="J22" s="179"/>
      <c r="K22" s="179" t="s">
        <v>70</v>
      </c>
      <c r="L22" s="179" t="s">
        <v>70</v>
      </c>
      <c r="M22" s="179" t="s">
        <v>70</v>
      </c>
      <c r="N22" s="179" t="s">
        <v>70</v>
      </c>
      <c r="O22" s="179" t="s">
        <v>70</v>
      </c>
      <c r="P22" s="179" t="s">
        <v>70</v>
      </c>
      <c r="Q22" s="179"/>
      <c r="R22" s="179" t="s">
        <v>70</v>
      </c>
      <c r="S22" s="179" t="s">
        <v>70</v>
      </c>
      <c r="T22" s="179" t="s">
        <v>70</v>
      </c>
      <c r="U22" s="179" t="s">
        <v>70</v>
      </c>
      <c r="V22" s="179" t="s">
        <v>70</v>
      </c>
      <c r="W22" s="179" t="s">
        <v>70</v>
      </c>
      <c r="X22" s="179"/>
      <c r="Y22" s="179" t="s">
        <v>70</v>
      </c>
      <c r="Z22" s="179" t="s">
        <v>70</v>
      </c>
      <c r="AA22" s="179" t="s">
        <v>70</v>
      </c>
      <c r="AB22" s="179" t="s">
        <v>70</v>
      </c>
      <c r="AC22" s="179" t="s">
        <v>70</v>
      </c>
      <c r="AD22" s="179" t="s">
        <v>70</v>
      </c>
      <c r="AE22" s="179"/>
      <c r="AF22" s="179" t="s">
        <v>70</v>
      </c>
      <c r="AG22" s="179" t="s">
        <v>70</v>
      </c>
      <c r="AH22" s="180"/>
      <c r="AI22" s="179">
        <f t="shared" si="4"/>
        <v>26</v>
      </c>
      <c r="AJ22" s="179">
        <f t="shared" si="2"/>
        <v>26</v>
      </c>
      <c r="AK22" s="181">
        <f t="shared" si="3"/>
        <v>0</v>
      </c>
    </row>
    <row r="23" spans="2:37" ht="28.8" x14ac:dyDescent="0.55000000000000004">
      <c r="B23" s="177">
        <v>3442</v>
      </c>
      <c r="C23" s="178" t="s">
        <v>19</v>
      </c>
      <c r="D23" s="179" t="s">
        <v>70</v>
      </c>
      <c r="E23" s="179" t="s">
        <v>70</v>
      </c>
      <c r="F23" s="179" t="s">
        <v>70</v>
      </c>
      <c r="G23" s="179" t="s">
        <v>70</v>
      </c>
      <c r="H23" s="179" t="s">
        <v>70</v>
      </c>
      <c r="I23" s="179" t="s">
        <v>70</v>
      </c>
      <c r="J23" s="179"/>
      <c r="K23" s="179" t="s">
        <v>70</v>
      </c>
      <c r="L23" s="179" t="s">
        <v>70</v>
      </c>
      <c r="M23" s="179" t="s">
        <v>70</v>
      </c>
      <c r="N23" s="179" t="s">
        <v>70</v>
      </c>
      <c r="O23" s="179" t="s">
        <v>70</v>
      </c>
      <c r="P23" s="179" t="s">
        <v>70</v>
      </c>
      <c r="Q23" s="179"/>
      <c r="R23" s="179" t="s">
        <v>70</v>
      </c>
      <c r="S23" s="179" t="s">
        <v>70</v>
      </c>
      <c r="T23" s="179" t="s">
        <v>70</v>
      </c>
      <c r="U23" s="179" t="s">
        <v>70</v>
      </c>
      <c r="V23" s="179" t="s">
        <v>70</v>
      </c>
      <c r="W23" s="179" t="s">
        <v>70</v>
      </c>
      <c r="X23" s="179"/>
      <c r="Y23" s="179" t="s">
        <v>71</v>
      </c>
      <c r="Z23" s="179" t="s">
        <v>70</v>
      </c>
      <c r="AA23" s="179" t="s">
        <v>70</v>
      </c>
      <c r="AB23" s="179" t="s">
        <v>70</v>
      </c>
      <c r="AC23" s="179" t="s">
        <v>70</v>
      </c>
      <c r="AD23" s="179" t="s">
        <v>70</v>
      </c>
      <c r="AE23" s="179"/>
      <c r="AF23" s="179" t="s">
        <v>70</v>
      </c>
      <c r="AG23" s="179" t="s">
        <v>70</v>
      </c>
      <c r="AH23" s="180"/>
      <c r="AI23" s="179">
        <f t="shared" si="4"/>
        <v>26</v>
      </c>
      <c r="AJ23" s="179">
        <f t="shared" si="2"/>
        <v>25</v>
      </c>
      <c r="AK23" s="181">
        <f t="shared" si="3"/>
        <v>1</v>
      </c>
    </row>
    <row r="24" spans="2:37" ht="28.8" x14ac:dyDescent="0.55000000000000004">
      <c r="B24" s="177">
        <v>3443</v>
      </c>
      <c r="C24" s="178" t="s">
        <v>20</v>
      </c>
      <c r="D24" s="179" t="s">
        <v>71</v>
      </c>
      <c r="E24" s="179" t="s">
        <v>70</v>
      </c>
      <c r="F24" s="179" t="s">
        <v>70</v>
      </c>
      <c r="G24" s="179" t="s">
        <v>70</v>
      </c>
      <c r="H24" s="179" t="s">
        <v>70</v>
      </c>
      <c r="I24" s="179" t="s">
        <v>70</v>
      </c>
      <c r="J24" s="179"/>
      <c r="K24" s="179" t="s">
        <v>70</v>
      </c>
      <c r="L24" s="179" t="s">
        <v>70</v>
      </c>
      <c r="M24" s="179" t="s">
        <v>70</v>
      </c>
      <c r="N24" s="179" t="s">
        <v>70</v>
      </c>
      <c r="O24" s="179" t="s">
        <v>70</v>
      </c>
      <c r="P24" s="179" t="s">
        <v>70</v>
      </c>
      <c r="Q24" s="179"/>
      <c r="R24" s="179" t="s">
        <v>70</v>
      </c>
      <c r="S24" s="179" t="s">
        <v>70</v>
      </c>
      <c r="T24" s="179" t="s">
        <v>70</v>
      </c>
      <c r="U24" s="179" t="s">
        <v>71</v>
      </c>
      <c r="V24" s="179" t="s">
        <v>70</v>
      </c>
      <c r="W24" s="179" t="s">
        <v>70</v>
      </c>
      <c r="X24" s="179"/>
      <c r="Y24" s="179" t="s">
        <v>70</v>
      </c>
      <c r="Z24" s="179" t="s">
        <v>70</v>
      </c>
      <c r="AA24" s="179" t="s">
        <v>70</v>
      </c>
      <c r="AB24" s="179" t="s">
        <v>71</v>
      </c>
      <c r="AC24" s="179" t="s">
        <v>70</v>
      </c>
      <c r="AD24" s="179" t="s">
        <v>70</v>
      </c>
      <c r="AE24" s="179"/>
      <c r="AF24" s="179" t="s">
        <v>70</v>
      </c>
      <c r="AG24" s="179" t="s">
        <v>70</v>
      </c>
      <c r="AH24" s="180"/>
      <c r="AI24" s="179">
        <f t="shared" si="4"/>
        <v>25</v>
      </c>
      <c r="AJ24" s="179">
        <f t="shared" si="2"/>
        <v>23</v>
      </c>
      <c r="AK24" s="181">
        <f t="shared" si="3"/>
        <v>2</v>
      </c>
    </row>
    <row r="25" spans="2:37" ht="28.8" x14ac:dyDescent="0.55000000000000004">
      <c r="B25" s="177">
        <v>3444</v>
      </c>
      <c r="C25" s="178" t="s">
        <v>21</v>
      </c>
      <c r="D25" s="179" t="s">
        <v>70</v>
      </c>
      <c r="E25" s="179" t="s">
        <v>70</v>
      </c>
      <c r="F25" s="179" t="s">
        <v>70</v>
      </c>
      <c r="G25" s="179" t="s">
        <v>70</v>
      </c>
      <c r="H25" s="179" t="s">
        <v>70</v>
      </c>
      <c r="I25" s="179" t="s">
        <v>70</v>
      </c>
      <c r="J25" s="179"/>
      <c r="K25" s="179" t="s">
        <v>70</v>
      </c>
      <c r="L25" s="179" t="s">
        <v>70</v>
      </c>
      <c r="M25" s="179" t="s">
        <v>70</v>
      </c>
      <c r="N25" s="179" t="s">
        <v>70</v>
      </c>
      <c r="O25" s="179" t="s">
        <v>70</v>
      </c>
      <c r="P25" s="179" t="s">
        <v>70</v>
      </c>
      <c r="Q25" s="179"/>
      <c r="R25" s="179" t="s">
        <v>70</v>
      </c>
      <c r="S25" s="179" t="s">
        <v>70</v>
      </c>
      <c r="T25" s="179" t="s">
        <v>70</v>
      </c>
      <c r="U25" s="179" t="s">
        <v>70</v>
      </c>
      <c r="V25" s="179" t="s">
        <v>70</v>
      </c>
      <c r="W25" s="179" t="s">
        <v>70</v>
      </c>
      <c r="X25" s="179"/>
      <c r="Y25" s="179" t="s">
        <v>70</v>
      </c>
      <c r="Z25" s="179" t="s">
        <v>70</v>
      </c>
      <c r="AA25" s="179" t="s">
        <v>70</v>
      </c>
      <c r="AB25" s="179" t="s">
        <v>70</v>
      </c>
      <c r="AC25" s="179" t="s">
        <v>70</v>
      </c>
      <c r="AD25" s="179" t="s">
        <v>70</v>
      </c>
      <c r="AE25" s="179"/>
      <c r="AF25" s="179" t="s">
        <v>70</v>
      </c>
      <c r="AG25" s="179" t="s">
        <v>70</v>
      </c>
      <c r="AH25" s="180"/>
      <c r="AI25" s="179">
        <f t="shared" si="4"/>
        <v>26</v>
      </c>
      <c r="AJ25" s="179">
        <f t="shared" si="2"/>
        <v>26</v>
      </c>
      <c r="AK25" s="181">
        <f t="shared" si="3"/>
        <v>0</v>
      </c>
    </row>
    <row r="26" spans="2:37" ht="28.8" x14ac:dyDescent="0.55000000000000004">
      <c r="B26" s="177">
        <v>3445</v>
      </c>
      <c r="C26" s="178" t="s">
        <v>22</v>
      </c>
      <c r="D26" s="179" t="s">
        <v>70</v>
      </c>
      <c r="E26" s="179" t="s">
        <v>70</v>
      </c>
      <c r="F26" s="179" t="s">
        <v>70</v>
      </c>
      <c r="G26" s="179" t="s">
        <v>70</v>
      </c>
      <c r="H26" s="179" t="s">
        <v>70</v>
      </c>
      <c r="I26" s="179" t="s">
        <v>70</v>
      </c>
      <c r="J26" s="179"/>
      <c r="K26" s="179" t="s">
        <v>70</v>
      </c>
      <c r="L26" s="179" t="s">
        <v>70</v>
      </c>
      <c r="M26" s="179" t="s">
        <v>70</v>
      </c>
      <c r="N26" s="179" t="s">
        <v>70</v>
      </c>
      <c r="O26" s="179" t="s">
        <v>70</v>
      </c>
      <c r="P26" s="179" t="s">
        <v>70</v>
      </c>
      <c r="Q26" s="179"/>
      <c r="R26" s="179" t="s">
        <v>70</v>
      </c>
      <c r="S26" s="179" t="s">
        <v>70</v>
      </c>
      <c r="T26" s="179" t="s">
        <v>70</v>
      </c>
      <c r="U26" s="179" t="s">
        <v>70</v>
      </c>
      <c r="V26" s="179" t="s">
        <v>70</v>
      </c>
      <c r="W26" s="179" t="s">
        <v>70</v>
      </c>
      <c r="X26" s="179"/>
      <c r="Y26" s="179" t="s">
        <v>70</v>
      </c>
      <c r="Z26" s="179" t="s">
        <v>70</v>
      </c>
      <c r="AA26" s="179" t="s">
        <v>70</v>
      </c>
      <c r="AB26" s="179" t="s">
        <v>70</v>
      </c>
      <c r="AC26" s="179" t="s">
        <v>70</v>
      </c>
      <c r="AD26" s="179" t="s">
        <v>70</v>
      </c>
      <c r="AE26" s="179"/>
      <c r="AF26" s="179" t="s">
        <v>70</v>
      </c>
      <c r="AG26" s="179" t="s">
        <v>70</v>
      </c>
      <c r="AH26" s="180"/>
      <c r="AI26" s="179">
        <f t="shared" si="4"/>
        <v>26</v>
      </c>
      <c r="AJ26" s="179">
        <f t="shared" si="2"/>
        <v>26</v>
      </c>
      <c r="AK26" s="181">
        <f t="shared" si="3"/>
        <v>0</v>
      </c>
    </row>
    <row r="27" spans="2:37" ht="34.5" customHeight="1" x14ac:dyDescent="0.55000000000000004">
      <c r="B27" s="177">
        <v>3446</v>
      </c>
      <c r="C27" s="178" t="s">
        <v>23</v>
      </c>
      <c r="D27" s="179" t="s">
        <v>70</v>
      </c>
      <c r="E27" s="179" t="s">
        <v>70</v>
      </c>
      <c r="F27" s="179" t="s">
        <v>71</v>
      </c>
      <c r="G27" s="179" t="s">
        <v>70</v>
      </c>
      <c r="H27" s="179" t="s">
        <v>70</v>
      </c>
      <c r="I27" s="179" t="s">
        <v>70</v>
      </c>
      <c r="J27" s="179"/>
      <c r="K27" s="179" t="s">
        <v>70</v>
      </c>
      <c r="L27" s="179" t="s">
        <v>70</v>
      </c>
      <c r="M27" s="179" t="s">
        <v>70</v>
      </c>
      <c r="N27" s="179" t="s">
        <v>70</v>
      </c>
      <c r="O27" s="179" t="s">
        <v>70</v>
      </c>
      <c r="P27" s="179" t="s">
        <v>70</v>
      </c>
      <c r="Q27" s="179"/>
      <c r="R27" s="179" t="s">
        <v>70</v>
      </c>
      <c r="S27" s="179" t="s">
        <v>70</v>
      </c>
      <c r="T27" s="179" t="s">
        <v>70</v>
      </c>
      <c r="U27" s="179" t="s">
        <v>70</v>
      </c>
      <c r="V27" s="179" t="s">
        <v>70</v>
      </c>
      <c r="W27" s="179" t="s">
        <v>70</v>
      </c>
      <c r="X27" s="179"/>
      <c r="Y27" s="179" t="s">
        <v>70</v>
      </c>
      <c r="Z27" s="179" t="s">
        <v>70</v>
      </c>
      <c r="AA27" s="179" t="s">
        <v>70</v>
      </c>
      <c r="AB27" s="179" t="s">
        <v>70</v>
      </c>
      <c r="AC27" s="179" t="s">
        <v>70</v>
      </c>
      <c r="AD27" s="179" t="s">
        <v>70</v>
      </c>
      <c r="AE27" s="179"/>
      <c r="AF27" s="179" t="s">
        <v>70</v>
      </c>
      <c r="AG27" s="179" t="s">
        <v>70</v>
      </c>
      <c r="AH27" s="180"/>
      <c r="AI27" s="179">
        <f t="shared" si="4"/>
        <v>26</v>
      </c>
      <c r="AJ27" s="179">
        <f t="shared" si="2"/>
        <v>25</v>
      </c>
      <c r="AK27" s="181">
        <f t="shared" si="3"/>
        <v>1</v>
      </c>
    </row>
    <row r="28" spans="2:37" ht="29.4" thickBot="1" x14ac:dyDescent="0.6">
      <c r="B28" s="182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4"/>
    </row>
  </sheetData>
  <mergeCells count="7">
    <mergeCell ref="B2:C2"/>
    <mergeCell ref="D2:AL5"/>
    <mergeCell ref="B6:B7"/>
    <mergeCell ref="C6:C7"/>
    <mergeCell ref="AI6:AI7"/>
    <mergeCell ref="AJ6:AJ7"/>
    <mergeCell ref="AK6:AK7"/>
  </mergeCells>
  <conditionalFormatting sqref="D8:AG27">
    <cfRule type="containsText" dxfId="57" priority="1" operator="containsText" text="A">
      <formula>NOT(ISERROR(SEARCH("A",D8)))</formula>
    </cfRule>
    <cfRule type="expression" dxfId="56" priority="5">
      <formula>D$6="Sun"</formula>
    </cfRule>
    <cfRule type="expression" dxfId="55" priority="6">
      <formula>D$6="Sun"</formula>
    </cfRule>
  </conditionalFormatting>
  <conditionalFormatting sqref="D6:AK7">
    <cfRule type="notContainsBlanks" dxfId="54" priority="2">
      <formula>LEN(TRIM(D6))&gt;0</formula>
    </cfRule>
    <cfRule type="notContainsBlanks" dxfId="53" priority="3">
      <formula>LEN(TRIM(D6))&gt;0</formula>
    </cfRule>
  </conditionalFormatting>
  <conditionalFormatting sqref="D6:AK27">
    <cfRule type="expression" dxfId="52" priority="4">
      <formula>D$6&lt;&gt;""</formula>
    </cfRule>
  </conditionalFormatting>
  <dataValidations count="4">
    <dataValidation type="custom" allowBlank="1" showInputMessage="1" showErrorMessage="1" errorTitle="Info" error="Week Off" sqref="AH6:AK27" xr:uid="{00000000-0002-0000-0800-000000000000}">
      <formula1>AH$6&lt;&gt;""</formula1>
    </dataValidation>
    <dataValidation type="list" allowBlank="1" showInputMessage="1" showErrorMessage="1" sqref="C4" xr:uid="{00000000-0002-0000-0800-000001000000}">
      <formula1>"2024"</formula1>
    </dataValidation>
    <dataValidation type="list" allowBlank="1" showInputMessage="1" showErrorMessage="1" sqref="C3" xr:uid="{00000000-0002-0000-0800-000002000000}">
      <formula1>"JANUARY,FEBRUARY,MARCH,APRIL,MAY,JUNE,JULY,AUGUST,SEPTEMBER,NOVEMBER,DECEMBER"</formula1>
    </dataValidation>
    <dataValidation type="custom" allowBlank="1" showInputMessage="1" showErrorMessage="1" errorTitle="Info" error="Week Off" sqref="D6:AG27" xr:uid="{00000000-0002-0000-0800-000003000000}">
      <formula1>D$6&lt;&gt;"Sun"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L27"/>
  <sheetViews>
    <sheetView showGridLines="0" zoomScale="50" zoomScaleNormal="50" workbookViewId="0"/>
  </sheetViews>
  <sheetFormatPr defaultRowHeight="14.4" x14ac:dyDescent="0.3"/>
  <cols>
    <col min="1" max="1" width="33.5546875" customWidth="1"/>
    <col min="2" max="2" width="19.44140625" bestFit="1" customWidth="1"/>
    <col min="3" max="3" width="20.88671875" bestFit="1" customWidth="1"/>
    <col min="4" max="34" width="8" bestFit="1" customWidth="1"/>
    <col min="36" max="36" width="18.33203125" bestFit="1" customWidth="1"/>
    <col min="37" max="37" width="5.33203125" bestFit="1" customWidth="1"/>
    <col min="38" max="38" width="3.6640625" bestFit="1" customWidth="1"/>
    <col min="39" max="39" width="5.109375" customWidth="1"/>
  </cols>
  <sheetData>
    <row r="1" spans="1:38" ht="64.5" customHeight="1" thickBot="1" x14ac:dyDescent="0.35"/>
    <row r="2" spans="1:38" ht="55.2" x14ac:dyDescent="1.3">
      <c r="A2" s="199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1" x14ac:dyDescent="0.4">
      <c r="B3" s="11" t="s">
        <v>64</v>
      </c>
      <c r="C3" s="12" t="s">
        <v>68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1" x14ac:dyDescent="0.4">
      <c r="B4" s="11" t="s">
        <v>65</v>
      </c>
      <c r="C4" s="1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18.600000000000001" thickBot="1" x14ac:dyDescent="0.4">
      <c r="B5" s="3">
        <f>DATEVALUE("1"&amp;C3&amp;C4)</f>
        <v>45413</v>
      </c>
      <c r="C5" s="2">
        <f>EOMONTH(B5,0)</f>
        <v>45443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31.8" x14ac:dyDescent="0.35">
      <c r="B6" s="298" t="s">
        <v>2</v>
      </c>
      <c r="C6" s="299" t="s">
        <v>3</v>
      </c>
      <c r="D6" s="4" t="str">
        <f>TEXT(D7,"DDD")</f>
        <v>Wed</v>
      </c>
      <c r="E6" s="4" t="str">
        <f t="shared" ref="E6:AH6" si="0">TEXT(E7,"DDD")</f>
        <v>Thu</v>
      </c>
      <c r="F6" s="4" t="str">
        <f t="shared" si="0"/>
        <v>Fri</v>
      </c>
      <c r="G6" s="4" t="str">
        <f t="shared" si="0"/>
        <v>Sat</v>
      </c>
      <c r="H6" s="4" t="str">
        <f t="shared" si="0"/>
        <v>Sun</v>
      </c>
      <c r="I6" s="4" t="str">
        <f t="shared" si="0"/>
        <v>Mon</v>
      </c>
      <c r="J6" s="4" t="str">
        <f t="shared" si="0"/>
        <v>Tue</v>
      </c>
      <c r="K6" s="4" t="str">
        <f t="shared" si="0"/>
        <v>Wed</v>
      </c>
      <c r="L6" s="4" t="str">
        <f t="shared" si="0"/>
        <v>Thu</v>
      </c>
      <c r="M6" s="4" t="str">
        <f t="shared" si="0"/>
        <v>Fri</v>
      </c>
      <c r="N6" s="4" t="str">
        <f t="shared" si="0"/>
        <v>Sat</v>
      </c>
      <c r="O6" s="4" t="str">
        <f t="shared" si="0"/>
        <v>Sun</v>
      </c>
      <c r="P6" s="4" t="str">
        <f t="shared" si="0"/>
        <v>Mon</v>
      </c>
      <c r="Q6" s="4" t="str">
        <f t="shared" si="0"/>
        <v>Tue</v>
      </c>
      <c r="R6" s="4" t="str">
        <f t="shared" si="0"/>
        <v>Wed</v>
      </c>
      <c r="S6" s="4" t="str">
        <f t="shared" si="0"/>
        <v>Thu</v>
      </c>
      <c r="T6" s="4" t="str">
        <f t="shared" si="0"/>
        <v>Fri</v>
      </c>
      <c r="U6" s="4" t="str">
        <f t="shared" si="0"/>
        <v>Sat</v>
      </c>
      <c r="V6" s="4" t="str">
        <f t="shared" si="0"/>
        <v>Sun</v>
      </c>
      <c r="W6" s="4" t="str">
        <f t="shared" si="0"/>
        <v>Mon</v>
      </c>
      <c r="X6" s="4" t="str">
        <f t="shared" si="0"/>
        <v>Tue</v>
      </c>
      <c r="Y6" s="4" t="str">
        <f t="shared" si="0"/>
        <v>Wed</v>
      </c>
      <c r="Z6" s="4" t="str">
        <f t="shared" si="0"/>
        <v>Thu</v>
      </c>
      <c r="AA6" s="4" t="str">
        <f t="shared" si="0"/>
        <v>Fri</v>
      </c>
      <c r="AB6" s="4" t="str">
        <f t="shared" si="0"/>
        <v>Sat</v>
      </c>
      <c r="AC6" s="4" t="str">
        <f t="shared" si="0"/>
        <v>Sun</v>
      </c>
      <c r="AD6" s="4" t="str">
        <f t="shared" si="0"/>
        <v>Mon</v>
      </c>
      <c r="AE6" s="4" t="str">
        <f t="shared" si="0"/>
        <v>Tue</v>
      </c>
      <c r="AF6" s="4" t="str">
        <f t="shared" si="0"/>
        <v>Wed</v>
      </c>
      <c r="AG6" s="4" t="str">
        <f t="shared" si="0"/>
        <v>Thu</v>
      </c>
      <c r="AH6" s="4" t="str">
        <f t="shared" si="0"/>
        <v>Fri</v>
      </c>
      <c r="AI6" s="5"/>
      <c r="AJ6" s="300" t="s">
        <v>69</v>
      </c>
      <c r="AK6" s="300" t="s">
        <v>70</v>
      </c>
      <c r="AL6" s="301" t="s">
        <v>71</v>
      </c>
    </row>
    <row r="7" spans="1:38" ht="18" x14ac:dyDescent="0.35">
      <c r="B7" s="281"/>
      <c r="C7" s="282"/>
      <c r="D7" s="6">
        <f>B5</f>
        <v>45413</v>
      </c>
      <c r="E7" s="6">
        <f>IFERROR(IF(D7+1&gt;$C$5,"",D7+1),"")</f>
        <v>45414</v>
      </c>
      <c r="F7" s="6">
        <f t="shared" ref="F7:AG7" si="1">IFERROR(IF(E7+1&gt;$C$5,"",E7+1),"")</f>
        <v>45415</v>
      </c>
      <c r="G7" s="6">
        <f t="shared" si="1"/>
        <v>45416</v>
      </c>
      <c r="H7" s="6">
        <f t="shared" si="1"/>
        <v>45417</v>
      </c>
      <c r="I7" s="6">
        <f t="shared" si="1"/>
        <v>45418</v>
      </c>
      <c r="J7" s="6">
        <f t="shared" si="1"/>
        <v>45419</v>
      </c>
      <c r="K7" s="6">
        <f t="shared" si="1"/>
        <v>45420</v>
      </c>
      <c r="L7" s="6">
        <f t="shared" si="1"/>
        <v>45421</v>
      </c>
      <c r="M7" s="6">
        <f t="shared" si="1"/>
        <v>45422</v>
      </c>
      <c r="N7" s="6">
        <f t="shared" si="1"/>
        <v>45423</v>
      </c>
      <c r="O7" s="6">
        <f t="shared" si="1"/>
        <v>45424</v>
      </c>
      <c r="P7" s="6">
        <f t="shared" si="1"/>
        <v>45425</v>
      </c>
      <c r="Q7" s="6">
        <f t="shared" si="1"/>
        <v>45426</v>
      </c>
      <c r="R7" s="6">
        <f t="shared" si="1"/>
        <v>45427</v>
      </c>
      <c r="S7" s="6">
        <f>IFERROR(IF(R7+1&gt;$C$5,"",R7+1),"")</f>
        <v>45428</v>
      </c>
      <c r="T7" s="6">
        <f t="shared" si="1"/>
        <v>45429</v>
      </c>
      <c r="U7" s="6">
        <f t="shared" si="1"/>
        <v>45430</v>
      </c>
      <c r="V7" s="6">
        <f t="shared" si="1"/>
        <v>45431</v>
      </c>
      <c r="W7" s="6">
        <f t="shared" si="1"/>
        <v>45432</v>
      </c>
      <c r="X7" s="6">
        <f t="shared" si="1"/>
        <v>45433</v>
      </c>
      <c r="Y7" s="6">
        <f t="shared" si="1"/>
        <v>45434</v>
      </c>
      <c r="Z7" s="6">
        <f>IFERROR(IF(Y7+1&gt;$C$5,"",Y7+1),"")</f>
        <v>45435</v>
      </c>
      <c r="AA7" s="6">
        <f t="shared" si="1"/>
        <v>45436</v>
      </c>
      <c r="AB7" s="6">
        <f t="shared" si="1"/>
        <v>45437</v>
      </c>
      <c r="AC7" s="6">
        <f t="shared" si="1"/>
        <v>45438</v>
      </c>
      <c r="AD7" s="6">
        <f t="shared" si="1"/>
        <v>45439</v>
      </c>
      <c r="AE7" s="6">
        <f t="shared" si="1"/>
        <v>45440</v>
      </c>
      <c r="AF7" s="6">
        <f t="shared" si="1"/>
        <v>45441</v>
      </c>
      <c r="AG7" s="6">
        <f t="shared" si="1"/>
        <v>45442</v>
      </c>
      <c r="AH7" s="6">
        <f>IFERROR(IF(AG7+1&gt;$C$5,"",AG7+1),"")</f>
        <v>45443</v>
      </c>
      <c r="AI7" s="5"/>
      <c r="AJ7" s="300"/>
      <c r="AK7" s="300"/>
      <c r="AL7" s="301"/>
    </row>
    <row r="8" spans="1:38" ht="17.399999999999999" x14ac:dyDescent="0.3">
      <c r="B8" s="7">
        <v>3427</v>
      </c>
      <c r="C8" s="1" t="s">
        <v>4</v>
      </c>
      <c r="D8" s="8" t="s">
        <v>70</v>
      </c>
      <c r="E8" s="8" t="s">
        <v>70</v>
      </c>
      <c r="F8" s="8" t="s">
        <v>70</v>
      </c>
      <c r="G8" s="8" t="s">
        <v>70</v>
      </c>
      <c r="H8" s="8"/>
      <c r="I8" s="8" t="s">
        <v>70</v>
      </c>
      <c r="J8" s="8" t="s">
        <v>70</v>
      </c>
      <c r="K8" s="8" t="s">
        <v>70</v>
      </c>
      <c r="L8" s="8" t="s">
        <v>70</v>
      </c>
      <c r="M8" s="8" t="s">
        <v>70</v>
      </c>
      <c r="N8" s="8" t="s">
        <v>70</v>
      </c>
      <c r="O8" s="8"/>
      <c r="P8" s="8" t="s">
        <v>70</v>
      </c>
      <c r="Q8" s="8" t="s">
        <v>70</v>
      </c>
      <c r="R8" s="8" t="s">
        <v>70</v>
      </c>
      <c r="S8" s="8" t="s">
        <v>70</v>
      </c>
      <c r="T8" s="8" t="s">
        <v>70</v>
      </c>
      <c r="U8" s="8" t="s">
        <v>70</v>
      </c>
      <c r="V8" s="8"/>
      <c r="W8" s="8" t="s">
        <v>70</v>
      </c>
      <c r="X8" s="8" t="s">
        <v>70</v>
      </c>
      <c r="Y8" s="8" t="s">
        <v>70</v>
      </c>
      <c r="Z8" s="8" t="s">
        <v>70</v>
      </c>
      <c r="AA8" s="8" t="s">
        <v>71</v>
      </c>
      <c r="AB8" s="8" t="s">
        <v>70</v>
      </c>
      <c r="AC8" s="8"/>
      <c r="AD8" s="8" t="s">
        <v>70</v>
      </c>
      <c r="AE8" s="8" t="s">
        <v>70</v>
      </c>
      <c r="AF8" s="8" t="s">
        <v>70</v>
      </c>
      <c r="AG8" s="8" t="s">
        <v>70</v>
      </c>
      <c r="AH8" s="8" t="s">
        <v>70</v>
      </c>
      <c r="AI8" s="9"/>
      <c r="AJ8" s="8">
        <f>SUM(AK8,AL8)</f>
        <v>27</v>
      </c>
      <c r="AK8" s="8">
        <f>COUNTIF(D8:AH8,AK$6)</f>
        <v>26</v>
      </c>
      <c r="AL8" s="10">
        <f>COUNTIF(E8:AI8,AL$6)</f>
        <v>1</v>
      </c>
    </row>
    <row r="9" spans="1:38" ht="17.399999999999999" x14ac:dyDescent="0.3">
      <c r="B9" s="7">
        <v>3428</v>
      </c>
      <c r="C9" s="1" t="s">
        <v>5</v>
      </c>
      <c r="D9" s="8" t="s">
        <v>70</v>
      </c>
      <c r="E9" s="8" t="s">
        <v>70</v>
      </c>
      <c r="F9" s="8" t="s">
        <v>70</v>
      </c>
      <c r="G9" s="8" t="s">
        <v>70</v>
      </c>
      <c r="H9" s="8"/>
      <c r="I9" s="8" t="s">
        <v>70</v>
      </c>
      <c r="J9" s="8" t="s">
        <v>70</v>
      </c>
      <c r="K9" s="8" t="s">
        <v>70</v>
      </c>
      <c r="L9" s="8" t="s">
        <v>70</v>
      </c>
      <c r="M9" s="8" t="s">
        <v>70</v>
      </c>
      <c r="N9" s="8" t="s">
        <v>70</v>
      </c>
      <c r="O9" s="8"/>
      <c r="P9" s="8" t="s">
        <v>70</v>
      </c>
      <c r="Q9" s="8" t="s">
        <v>70</v>
      </c>
      <c r="R9" s="8" t="s">
        <v>70</v>
      </c>
      <c r="S9" s="8" t="s">
        <v>70</v>
      </c>
      <c r="T9" s="8" t="s">
        <v>70</v>
      </c>
      <c r="U9" s="8" t="s">
        <v>70</v>
      </c>
      <c r="V9" s="8"/>
      <c r="W9" s="8" t="s">
        <v>70</v>
      </c>
      <c r="X9" s="8" t="s">
        <v>70</v>
      </c>
      <c r="Y9" s="8" t="s">
        <v>70</v>
      </c>
      <c r="Z9" s="8" t="s">
        <v>70</v>
      </c>
      <c r="AA9" s="8" t="s">
        <v>70</v>
      </c>
      <c r="AB9" s="8" t="s">
        <v>70</v>
      </c>
      <c r="AC9" s="8"/>
      <c r="AD9" s="8" t="s">
        <v>70</v>
      </c>
      <c r="AE9" s="8" t="s">
        <v>70</v>
      </c>
      <c r="AF9" s="8" t="s">
        <v>70</v>
      </c>
      <c r="AG9" s="8" t="s">
        <v>70</v>
      </c>
      <c r="AH9" s="8" t="s">
        <v>70</v>
      </c>
      <c r="AI9" s="9"/>
      <c r="AJ9" s="8">
        <f t="shared" ref="AJ9:AJ27" si="2">SUM(AK9,AL9)</f>
        <v>27</v>
      </c>
      <c r="AK9" s="8">
        <f t="shared" ref="AK9:AL27" si="3">COUNTIF(D9:AH9,AK$6)</f>
        <v>27</v>
      </c>
      <c r="AL9" s="10">
        <f t="shared" si="3"/>
        <v>0</v>
      </c>
    </row>
    <row r="10" spans="1:38" ht="17.399999999999999" x14ac:dyDescent="0.3">
      <c r="B10" s="7">
        <v>3429</v>
      </c>
      <c r="C10" s="1" t="s">
        <v>6</v>
      </c>
      <c r="D10" s="8" t="s">
        <v>70</v>
      </c>
      <c r="E10" s="8" t="s">
        <v>70</v>
      </c>
      <c r="F10" s="8" t="s">
        <v>70</v>
      </c>
      <c r="G10" s="8" t="s">
        <v>70</v>
      </c>
      <c r="H10" s="8"/>
      <c r="I10" s="8" t="s">
        <v>70</v>
      </c>
      <c r="J10" s="8" t="s">
        <v>70</v>
      </c>
      <c r="K10" s="8" t="s">
        <v>70</v>
      </c>
      <c r="L10" s="8" t="s">
        <v>70</v>
      </c>
      <c r="M10" s="8" t="s">
        <v>70</v>
      </c>
      <c r="N10" s="8" t="s">
        <v>70</v>
      </c>
      <c r="O10" s="8"/>
      <c r="P10" s="8" t="s">
        <v>70</v>
      </c>
      <c r="Q10" s="8" t="s">
        <v>70</v>
      </c>
      <c r="R10" s="8" t="s">
        <v>70</v>
      </c>
      <c r="S10" s="8" t="s">
        <v>70</v>
      </c>
      <c r="T10" s="8" t="s">
        <v>70</v>
      </c>
      <c r="U10" s="8" t="s">
        <v>70</v>
      </c>
      <c r="V10" s="8"/>
      <c r="W10" s="8" t="s">
        <v>70</v>
      </c>
      <c r="X10" s="8" t="s">
        <v>70</v>
      </c>
      <c r="Y10" s="8" t="s">
        <v>70</v>
      </c>
      <c r="Z10" s="8" t="s">
        <v>70</v>
      </c>
      <c r="AA10" s="8" t="s">
        <v>70</v>
      </c>
      <c r="AB10" s="8" t="s">
        <v>70</v>
      </c>
      <c r="AC10" s="8"/>
      <c r="AD10" s="8" t="s">
        <v>70</v>
      </c>
      <c r="AE10" s="8" t="s">
        <v>70</v>
      </c>
      <c r="AF10" s="8" t="s">
        <v>70</v>
      </c>
      <c r="AG10" s="8" t="s">
        <v>70</v>
      </c>
      <c r="AH10" s="8" t="s">
        <v>70</v>
      </c>
      <c r="AI10" s="9"/>
      <c r="AJ10" s="8">
        <f t="shared" si="2"/>
        <v>27</v>
      </c>
      <c r="AK10" s="8">
        <f t="shared" si="3"/>
        <v>27</v>
      </c>
      <c r="AL10" s="10">
        <f t="shared" si="3"/>
        <v>0</v>
      </c>
    </row>
    <row r="11" spans="1:38" ht="17.399999999999999" x14ac:dyDescent="0.3">
      <c r="B11" s="7">
        <v>3430</v>
      </c>
      <c r="C11" s="1" t="s">
        <v>7</v>
      </c>
      <c r="D11" s="8" t="s">
        <v>70</v>
      </c>
      <c r="E11" s="8" t="s">
        <v>70</v>
      </c>
      <c r="F11" s="8" t="s">
        <v>70</v>
      </c>
      <c r="G11" s="8" t="s">
        <v>70</v>
      </c>
      <c r="H11" s="8"/>
      <c r="I11" s="8" t="s">
        <v>70</v>
      </c>
      <c r="J11" s="8" t="s">
        <v>70</v>
      </c>
      <c r="K11" s="8" t="s">
        <v>70</v>
      </c>
      <c r="L11" s="8" t="s">
        <v>70</v>
      </c>
      <c r="M11" s="8" t="s">
        <v>70</v>
      </c>
      <c r="N11" s="8" t="s">
        <v>70</v>
      </c>
      <c r="O11" s="8"/>
      <c r="P11" s="8" t="s">
        <v>70</v>
      </c>
      <c r="Q11" s="8" t="s">
        <v>70</v>
      </c>
      <c r="R11" s="8" t="s">
        <v>70</v>
      </c>
      <c r="S11" s="8" t="s">
        <v>70</v>
      </c>
      <c r="T11" s="8" t="s">
        <v>70</v>
      </c>
      <c r="U11" s="8" t="s">
        <v>70</v>
      </c>
      <c r="V11" s="8"/>
      <c r="W11" s="8" t="s">
        <v>70</v>
      </c>
      <c r="X11" s="8" t="s">
        <v>70</v>
      </c>
      <c r="Y11" s="8" t="s">
        <v>70</v>
      </c>
      <c r="Z11" s="8" t="s">
        <v>70</v>
      </c>
      <c r="AA11" s="8" t="s">
        <v>70</v>
      </c>
      <c r="AB11" s="8" t="s">
        <v>70</v>
      </c>
      <c r="AC11" s="8"/>
      <c r="AD11" s="8" t="s">
        <v>70</v>
      </c>
      <c r="AE11" s="8" t="s">
        <v>70</v>
      </c>
      <c r="AF11" s="8" t="s">
        <v>70</v>
      </c>
      <c r="AG11" s="8" t="s">
        <v>71</v>
      </c>
      <c r="AH11" s="8" t="s">
        <v>70</v>
      </c>
      <c r="AI11" s="9"/>
      <c r="AJ11" s="8">
        <f t="shared" si="2"/>
        <v>27</v>
      </c>
      <c r="AK11" s="8">
        <f t="shared" si="3"/>
        <v>26</v>
      </c>
      <c r="AL11" s="10">
        <f t="shared" si="3"/>
        <v>1</v>
      </c>
    </row>
    <row r="12" spans="1:38" ht="17.399999999999999" x14ac:dyDescent="0.3">
      <c r="B12" s="7">
        <v>3431</v>
      </c>
      <c r="C12" s="1" t="s">
        <v>8</v>
      </c>
      <c r="D12" s="8" t="s">
        <v>70</v>
      </c>
      <c r="E12" s="8" t="s">
        <v>70</v>
      </c>
      <c r="F12" s="8" t="s">
        <v>70</v>
      </c>
      <c r="G12" s="8" t="s">
        <v>71</v>
      </c>
      <c r="H12" s="8"/>
      <c r="I12" s="8" t="s">
        <v>70</v>
      </c>
      <c r="J12" s="8" t="s">
        <v>70</v>
      </c>
      <c r="K12" s="8" t="s">
        <v>70</v>
      </c>
      <c r="L12" s="8" t="s">
        <v>70</v>
      </c>
      <c r="M12" s="8" t="s">
        <v>70</v>
      </c>
      <c r="N12" s="8" t="s">
        <v>70</v>
      </c>
      <c r="O12" s="8"/>
      <c r="P12" s="8" t="s">
        <v>70</v>
      </c>
      <c r="Q12" s="8" t="s">
        <v>70</v>
      </c>
      <c r="R12" s="8" t="s">
        <v>70</v>
      </c>
      <c r="S12" s="8" t="s">
        <v>71</v>
      </c>
      <c r="T12" s="8" t="s">
        <v>70</v>
      </c>
      <c r="U12" s="8" t="s">
        <v>71</v>
      </c>
      <c r="V12" s="8"/>
      <c r="W12" s="8" t="s">
        <v>70</v>
      </c>
      <c r="X12" s="8" t="s">
        <v>70</v>
      </c>
      <c r="Y12" s="8" t="s">
        <v>70</v>
      </c>
      <c r="Z12" s="8" t="s">
        <v>70</v>
      </c>
      <c r="AA12" s="8" t="s">
        <v>70</v>
      </c>
      <c r="AB12" s="8" t="s">
        <v>70</v>
      </c>
      <c r="AC12" s="8"/>
      <c r="AD12" s="8" t="s">
        <v>70</v>
      </c>
      <c r="AE12" s="8" t="s">
        <v>70</v>
      </c>
      <c r="AF12" s="8" t="s">
        <v>70</v>
      </c>
      <c r="AG12" s="8" t="s">
        <v>70</v>
      </c>
      <c r="AH12" s="8" t="s">
        <v>70</v>
      </c>
      <c r="AI12" s="9"/>
      <c r="AJ12" s="8">
        <f t="shared" si="2"/>
        <v>27</v>
      </c>
      <c r="AK12" s="8">
        <f t="shared" si="3"/>
        <v>24</v>
      </c>
      <c r="AL12" s="10">
        <f t="shared" si="3"/>
        <v>3</v>
      </c>
    </row>
    <row r="13" spans="1:38" ht="17.399999999999999" x14ac:dyDescent="0.3">
      <c r="B13" s="7">
        <v>3432</v>
      </c>
      <c r="C13" s="1" t="s">
        <v>9</v>
      </c>
      <c r="D13" s="8" t="s">
        <v>70</v>
      </c>
      <c r="E13" s="8" t="s">
        <v>70</v>
      </c>
      <c r="F13" s="8" t="s">
        <v>70</v>
      </c>
      <c r="G13" s="8" t="s">
        <v>70</v>
      </c>
      <c r="H13" s="8"/>
      <c r="I13" s="8" t="s">
        <v>70</v>
      </c>
      <c r="J13" s="8" t="s">
        <v>70</v>
      </c>
      <c r="K13" s="8" t="s">
        <v>70</v>
      </c>
      <c r="L13" s="8" t="s">
        <v>70</v>
      </c>
      <c r="M13" s="8" t="s">
        <v>71</v>
      </c>
      <c r="N13" s="8" t="s">
        <v>70</v>
      </c>
      <c r="O13" s="8"/>
      <c r="P13" s="8" t="s">
        <v>70</v>
      </c>
      <c r="Q13" s="8" t="s">
        <v>70</v>
      </c>
      <c r="R13" s="8" t="s">
        <v>70</v>
      </c>
      <c r="S13" s="8" t="s">
        <v>70</v>
      </c>
      <c r="T13" s="8" t="s">
        <v>70</v>
      </c>
      <c r="U13" s="8" t="s">
        <v>70</v>
      </c>
      <c r="V13" s="8"/>
      <c r="W13" s="8" t="s">
        <v>70</v>
      </c>
      <c r="X13" s="8" t="s">
        <v>70</v>
      </c>
      <c r="Y13" s="8" t="s">
        <v>70</v>
      </c>
      <c r="Z13" s="8" t="s">
        <v>70</v>
      </c>
      <c r="AA13" s="8" t="s">
        <v>70</v>
      </c>
      <c r="AB13" s="8" t="s">
        <v>70</v>
      </c>
      <c r="AC13" s="8"/>
      <c r="AD13" s="8" t="s">
        <v>70</v>
      </c>
      <c r="AE13" s="8" t="s">
        <v>70</v>
      </c>
      <c r="AF13" s="8" t="s">
        <v>70</v>
      </c>
      <c r="AG13" s="8" t="s">
        <v>70</v>
      </c>
      <c r="AH13" s="8" t="s">
        <v>70</v>
      </c>
      <c r="AI13" s="9"/>
      <c r="AJ13" s="8">
        <f t="shared" si="2"/>
        <v>27</v>
      </c>
      <c r="AK13" s="8">
        <f t="shared" si="3"/>
        <v>26</v>
      </c>
      <c r="AL13" s="10">
        <f t="shared" si="3"/>
        <v>1</v>
      </c>
    </row>
    <row r="14" spans="1:38" ht="17.399999999999999" x14ac:dyDescent="0.3">
      <c r="B14" s="7">
        <v>3433</v>
      </c>
      <c r="C14" s="1" t="s">
        <v>10</v>
      </c>
      <c r="D14" s="8" t="s">
        <v>70</v>
      </c>
      <c r="E14" s="8" t="s">
        <v>70</v>
      </c>
      <c r="F14" s="8" t="s">
        <v>70</v>
      </c>
      <c r="G14" s="8" t="s">
        <v>70</v>
      </c>
      <c r="H14" s="8"/>
      <c r="I14" s="8" t="s">
        <v>70</v>
      </c>
      <c r="J14" s="8" t="s">
        <v>70</v>
      </c>
      <c r="K14" s="8" t="s">
        <v>71</v>
      </c>
      <c r="L14" s="8" t="s">
        <v>70</v>
      </c>
      <c r="M14" s="8" t="s">
        <v>70</v>
      </c>
      <c r="N14" s="8" t="s">
        <v>70</v>
      </c>
      <c r="O14" s="8"/>
      <c r="P14" s="8" t="s">
        <v>70</v>
      </c>
      <c r="Q14" s="8" t="s">
        <v>70</v>
      </c>
      <c r="R14" s="8" t="s">
        <v>70</v>
      </c>
      <c r="S14" s="8" t="s">
        <v>71</v>
      </c>
      <c r="T14" s="8" t="s">
        <v>70</v>
      </c>
      <c r="U14" s="8" t="s">
        <v>70</v>
      </c>
      <c r="V14" s="8"/>
      <c r="W14" s="8" t="s">
        <v>70</v>
      </c>
      <c r="X14" s="8" t="s">
        <v>70</v>
      </c>
      <c r="Y14" s="8" t="s">
        <v>70</v>
      </c>
      <c r="Z14" s="8" t="s">
        <v>70</v>
      </c>
      <c r="AA14" s="8" t="s">
        <v>70</v>
      </c>
      <c r="AB14" s="8" t="s">
        <v>70</v>
      </c>
      <c r="AC14" s="8"/>
      <c r="AD14" s="8" t="s">
        <v>70</v>
      </c>
      <c r="AE14" s="8" t="s">
        <v>70</v>
      </c>
      <c r="AF14" s="8" t="s">
        <v>70</v>
      </c>
      <c r="AG14" s="8" t="s">
        <v>70</v>
      </c>
      <c r="AH14" s="8" t="s">
        <v>70</v>
      </c>
      <c r="AI14" s="9"/>
      <c r="AJ14" s="8">
        <f t="shared" si="2"/>
        <v>27</v>
      </c>
      <c r="AK14" s="8">
        <f t="shared" si="3"/>
        <v>25</v>
      </c>
      <c r="AL14" s="10">
        <f t="shared" si="3"/>
        <v>2</v>
      </c>
    </row>
    <row r="15" spans="1:38" ht="17.399999999999999" x14ac:dyDescent="0.3">
      <c r="B15" s="7">
        <v>3434</v>
      </c>
      <c r="C15" s="1" t="s">
        <v>11</v>
      </c>
      <c r="D15" s="8" t="s">
        <v>70</v>
      </c>
      <c r="E15" s="8" t="s">
        <v>70</v>
      </c>
      <c r="F15" s="8" t="s">
        <v>70</v>
      </c>
      <c r="G15" s="8" t="s">
        <v>70</v>
      </c>
      <c r="H15" s="8"/>
      <c r="I15" s="8" t="s">
        <v>70</v>
      </c>
      <c r="J15" s="8" t="s">
        <v>70</v>
      </c>
      <c r="K15" s="8" t="s">
        <v>70</v>
      </c>
      <c r="L15" s="8" t="s">
        <v>70</v>
      </c>
      <c r="M15" s="8" t="s">
        <v>70</v>
      </c>
      <c r="N15" s="8" t="s">
        <v>70</v>
      </c>
      <c r="O15" s="8"/>
      <c r="P15" s="8" t="s">
        <v>70</v>
      </c>
      <c r="Q15" s="8" t="s">
        <v>70</v>
      </c>
      <c r="R15" s="8" t="s">
        <v>70</v>
      </c>
      <c r="S15" s="8" t="s">
        <v>70</v>
      </c>
      <c r="T15" s="8" t="s">
        <v>70</v>
      </c>
      <c r="U15" s="8" t="s">
        <v>70</v>
      </c>
      <c r="V15" s="8"/>
      <c r="W15" s="8" t="s">
        <v>70</v>
      </c>
      <c r="X15" s="8" t="s">
        <v>70</v>
      </c>
      <c r="Y15" s="8" t="s">
        <v>70</v>
      </c>
      <c r="Z15" s="8" t="s">
        <v>70</v>
      </c>
      <c r="AA15" s="8" t="s">
        <v>70</v>
      </c>
      <c r="AB15" s="8" t="s">
        <v>70</v>
      </c>
      <c r="AC15" s="8"/>
      <c r="AD15" s="8" t="s">
        <v>71</v>
      </c>
      <c r="AE15" s="8" t="s">
        <v>70</v>
      </c>
      <c r="AF15" s="8" t="s">
        <v>70</v>
      </c>
      <c r="AG15" s="8" t="s">
        <v>70</v>
      </c>
      <c r="AH15" s="8" t="s">
        <v>71</v>
      </c>
      <c r="AI15" s="9"/>
      <c r="AJ15" s="8">
        <f t="shared" si="2"/>
        <v>27</v>
      </c>
      <c r="AK15" s="8">
        <f t="shared" si="3"/>
        <v>25</v>
      </c>
      <c r="AL15" s="10">
        <f t="shared" si="3"/>
        <v>2</v>
      </c>
    </row>
    <row r="16" spans="1:38" ht="17.399999999999999" x14ac:dyDescent="0.3">
      <c r="B16" s="7">
        <v>3435</v>
      </c>
      <c r="C16" s="1" t="s">
        <v>12</v>
      </c>
      <c r="D16" s="8" t="s">
        <v>70</v>
      </c>
      <c r="E16" s="8" t="s">
        <v>71</v>
      </c>
      <c r="F16" s="8" t="s">
        <v>70</v>
      </c>
      <c r="G16" s="8" t="s">
        <v>70</v>
      </c>
      <c r="H16" s="8"/>
      <c r="I16" s="8" t="s">
        <v>70</v>
      </c>
      <c r="J16" s="8" t="s">
        <v>70</v>
      </c>
      <c r="K16" s="8" t="s">
        <v>70</v>
      </c>
      <c r="L16" s="8" t="s">
        <v>70</v>
      </c>
      <c r="M16" s="8" t="s">
        <v>70</v>
      </c>
      <c r="N16" s="8" t="s">
        <v>70</v>
      </c>
      <c r="O16" s="8"/>
      <c r="P16" s="8" t="s">
        <v>70</v>
      </c>
      <c r="Q16" s="8" t="s">
        <v>70</v>
      </c>
      <c r="R16" s="8" t="s">
        <v>70</v>
      </c>
      <c r="S16" s="8" t="s">
        <v>70</v>
      </c>
      <c r="T16" s="8" t="s">
        <v>70</v>
      </c>
      <c r="U16" s="8" t="s">
        <v>70</v>
      </c>
      <c r="V16" s="8"/>
      <c r="W16" s="8" t="s">
        <v>70</v>
      </c>
      <c r="X16" s="8" t="s">
        <v>70</v>
      </c>
      <c r="Y16" s="8" t="s">
        <v>70</v>
      </c>
      <c r="Z16" s="8" t="s">
        <v>71</v>
      </c>
      <c r="AA16" s="8" t="s">
        <v>70</v>
      </c>
      <c r="AB16" s="8" t="s">
        <v>70</v>
      </c>
      <c r="AC16" s="8"/>
      <c r="AD16" s="8" t="s">
        <v>70</v>
      </c>
      <c r="AE16" s="8" t="s">
        <v>70</v>
      </c>
      <c r="AF16" s="8" t="s">
        <v>70</v>
      </c>
      <c r="AG16" s="8" t="s">
        <v>70</v>
      </c>
      <c r="AH16" s="8" t="s">
        <v>70</v>
      </c>
      <c r="AI16" s="9"/>
      <c r="AJ16" s="8">
        <f t="shared" si="2"/>
        <v>27</v>
      </c>
      <c r="AK16" s="8">
        <f t="shared" si="3"/>
        <v>25</v>
      </c>
      <c r="AL16" s="10">
        <f t="shared" si="3"/>
        <v>2</v>
      </c>
    </row>
    <row r="17" spans="2:38" ht="17.399999999999999" x14ac:dyDescent="0.3">
      <c r="B17" s="7">
        <v>3436</v>
      </c>
      <c r="C17" s="1" t="s">
        <v>13</v>
      </c>
      <c r="D17" s="8" t="s">
        <v>70</v>
      </c>
      <c r="E17" s="8" t="s">
        <v>70</v>
      </c>
      <c r="F17" s="8" t="s">
        <v>70</v>
      </c>
      <c r="G17" s="8" t="s">
        <v>71</v>
      </c>
      <c r="H17" s="8"/>
      <c r="I17" s="8" t="s">
        <v>70</v>
      </c>
      <c r="J17" s="8" t="s">
        <v>70</v>
      </c>
      <c r="K17" s="8" t="s">
        <v>70</v>
      </c>
      <c r="L17" s="8" t="s">
        <v>70</v>
      </c>
      <c r="M17" s="8" t="s">
        <v>70</v>
      </c>
      <c r="N17" s="8" t="s">
        <v>70</v>
      </c>
      <c r="O17" s="8"/>
      <c r="P17" s="8" t="s">
        <v>70</v>
      </c>
      <c r="Q17" s="8" t="s">
        <v>70</v>
      </c>
      <c r="R17" s="8" t="s">
        <v>70</v>
      </c>
      <c r="S17" s="8" t="s">
        <v>70</v>
      </c>
      <c r="T17" s="8" t="s">
        <v>70</v>
      </c>
      <c r="U17" s="8" t="s">
        <v>70</v>
      </c>
      <c r="V17" s="8"/>
      <c r="W17" s="8" t="s">
        <v>70</v>
      </c>
      <c r="X17" s="8" t="s">
        <v>70</v>
      </c>
      <c r="Y17" s="8" t="s">
        <v>70</v>
      </c>
      <c r="Z17" s="8" t="s">
        <v>70</v>
      </c>
      <c r="AA17" s="8" t="s">
        <v>70</v>
      </c>
      <c r="AB17" s="8" t="s">
        <v>70</v>
      </c>
      <c r="AC17" s="8"/>
      <c r="AD17" s="8" t="s">
        <v>70</v>
      </c>
      <c r="AE17" s="8" t="s">
        <v>70</v>
      </c>
      <c r="AF17" s="8" t="s">
        <v>70</v>
      </c>
      <c r="AG17" s="8" t="s">
        <v>70</v>
      </c>
      <c r="AH17" s="8" t="s">
        <v>70</v>
      </c>
      <c r="AI17" s="9"/>
      <c r="AJ17" s="8">
        <f t="shared" si="2"/>
        <v>27</v>
      </c>
      <c r="AK17" s="8">
        <f t="shared" si="3"/>
        <v>26</v>
      </c>
      <c r="AL17" s="10">
        <f t="shared" si="3"/>
        <v>1</v>
      </c>
    </row>
    <row r="18" spans="2:38" ht="17.399999999999999" x14ac:dyDescent="0.3">
      <c r="B18" s="7">
        <v>3437</v>
      </c>
      <c r="C18" s="1" t="s">
        <v>14</v>
      </c>
      <c r="D18" s="8" t="s">
        <v>70</v>
      </c>
      <c r="E18" s="8" t="s">
        <v>70</v>
      </c>
      <c r="F18" s="8" t="s">
        <v>70</v>
      </c>
      <c r="G18" s="8" t="s">
        <v>70</v>
      </c>
      <c r="H18" s="8"/>
      <c r="I18" s="8" t="s">
        <v>70</v>
      </c>
      <c r="J18" s="8" t="s">
        <v>70</v>
      </c>
      <c r="K18" s="8" t="s">
        <v>70</v>
      </c>
      <c r="L18" s="8" t="s">
        <v>70</v>
      </c>
      <c r="M18" s="8" t="s">
        <v>70</v>
      </c>
      <c r="N18" s="8" t="s">
        <v>70</v>
      </c>
      <c r="O18" s="8"/>
      <c r="P18" s="8" t="s">
        <v>70</v>
      </c>
      <c r="Q18" s="8" t="s">
        <v>70</v>
      </c>
      <c r="R18" s="8" t="s">
        <v>70</v>
      </c>
      <c r="S18" s="8" t="s">
        <v>70</v>
      </c>
      <c r="T18" s="8" t="s">
        <v>71</v>
      </c>
      <c r="U18" s="8" t="s">
        <v>70</v>
      </c>
      <c r="V18" s="8"/>
      <c r="W18" s="8" t="s">
        <v>70</v>
      </c>
      <c r="X18" s="8" t="s">
        <v>70</v>
      </c>
      <c r="Y18" s="8" t="s">
        <v>70</v>
      </c>
      <c r="Z18" s="8" t="s">
        <v>70</v>
      </c>
      <c r="AA18" s="8" t="s">
        <v>70</v>
      </c>
      <c r="AB18" s="8" t="s">
        <v>70</v>
      </c>
      <c r="AC18" s="8"/>
      <c r="AD18" s="8" t="s">
        <v>70</v>
      </c>
      <c r="AE18" s="8" t="s">
        <v>70</v>
      </c>
      <c r="AF18" s="8" t="s">
        <v>70</v>
      </c>
      <c r="AG18" s="8" t="s">
        <v>70</v>
      </c>
      <c r="AH18" s="8" t="s">
        <v>70</v>
      </c>
      <c r="AI18" s="9"/>
      <c r="AJ18" s="8">
        <f t="shared" si="2"/>
        <v>27</v>
      </c>
      <c r="AK18" s="8">
        <f t="shared" si="3"/>
        <v>26</v>
      </c>
      <c r="AL18" s="10">
        <f t="shared" si="3"/>
        <v>1</v>
      </c>
    </row>
    <row r="19" spans="2:38" ht="17.399999999999999" x14ac:dyDescent="0.3">
      <c r="B19" s="7">
        <v>3438</v>
      </c>
      <c r="C19" s="1" t="s">
        <v>15</v>
      </c>
      <c r="D19" s="8" t="s">
        <v>70</v>
      </c>
      <c r="E19" s="8" t="s">
        <v>70</v>
      </c>
      <c r="F19" s="8" t="s">
        <v>70</v>
      </c>
      <c r="G19" s="8" t="s">
        <v>70</v>
      </c>
      <c r="H19" s="8"/>
      <c r="I19" s="8" t="s">
        <v>70</v>
      </c>
      <c r="J19" s="8" t="s">
        <v>70</v>
      </c>
      <c r="K19" s="8" t="s">
        <v>70</v>
      </c>
      <c r="L19" s="8" t="s">
        <v>70</v>
      </c>
      <c r="M19" s="8" t="s">
        <v>70</v>
      </c>
      <c r="N19" s="8" t="s">
        <v>70</v>
      </c>
      <c r="O19" s="8"/>
      <c r="P19" s="8" t="s">
        <v>70</v>
      </c>
      <c r="Q19" s="8" t="s">
        <v>70</v>
      </c>
      <c r="R19" s="8" t="s">
        <v>70</v>
      </c>
      <c r="S19" s="8" t="s">
        <v>70</v>
      </c>
      <c r="T19" s="8" t="s">
        <v>70</v>
      </c>
      <c r="U19" s="8" t="s">
        <v>70</v>
      </c>
      <c r="V19" s="8"/>
      <c r="W19" s="8" t="s">
        <v>70</v>
      </c>
      <c r="X19" s="8" t="s">
        <v>70</v>
      </c>
      <c r="Y19" s="8" t="s">
        <v>70</v>
      </c>
      <c r="Z19" s="8" t="s">
        <v>70</v>
      </c>
      <c r="AA19" s="8" t="s">
        <v>70</v>
      </c>
      <c r="AB19" s="8" t="s">
        <v>70</v>
      </c>
      <c r="AC19" s="8"/>
      <c r="AD19" s="8" t="s">
        <v>70</v>
      </c>
      <c r="AE19" s="8" t="s">
        <v>70</v>
      </c>
      <c r="AF19" s="8" t="s">
        <v>70</v>
      </c>
      <c r="AG19" s="8" t="s">
        <v>70</v>
      </c>
      <c r="AH19" s="8" t="s">
        <v>70</v>
      </c>
      <c r="AI19" s="9"/>
      <c r="AJ19" s="8">
        <f t="shared" si="2"/>
        <v>27</v>
      </c>
      <c r="AK19" s="8">
        <f t="shared" si="3"/>
        <v>27</v>
      </c>
      <c r="AL19" s="10">
        <f t="shared" si="3"/>
        <v>0</v>
      </c>
    </row>
    <row r="20" spans="2:38" ht="17.399999999999999" x14ac:dyDescent="0.3">
      <c r="B20" s="7">
        <v>3439</v>
      </c>
      <c r="C20" s="1" t="s">
        <v>16</v>
      </c>
      <c r="D20" s="8" t="s">
        <v>70</v>
      </c>
      <c r="E20" s="8" t="s">
        <v>70</v>
      </c>
      <c r="F20" s="8" t="s">
        <v>70</v>
      </c>
      <c r="G20" s="8" t="s">
        <v>70</v>
      </c>
      <c r="H20" s="8"/>
      <c r="I20" s="8" t="s">
        <v>70</v>
      </c>
      <c r="J20" s="8" t="s">
        <v>70</v>
      </c>
      <c r="K20" s="8" t="s">
        <v>70</v>
      </c>
      <c r="L20" s="8" t="s">
        <v>70</v>
      </c>
      <c r="M20" s="8" t="s">
        <v>70</v>
      </c>
      <c r="N20" s="8" t="s">
        <v>70</v>
      </c>
      <c r="O20" s="8"/>
      <c r="P20" s="8" t="s">
        <v>70</v>
      </c>
      <c r="Q20" s="8" t="s">
        <v>70</v>
      </c>
      <c r="R20" s="8" t="s">
        <v>70</v>
      </c>
      <c r="S20" s="8" t="s">
        <v>70</v>
      </c>
      <c r="T20" s="8" t="s">
        <v>70</v>
      </c>
      <c r="U20" s="8" t="s">
        <v>70</v>
      </c>
      <c r="V20" s="8"/>
      <c r="W20" s="8" t="s">
        <v>70</v>
      </c>
      <c r="X20" s="8" t="s">
        <v>70</v>
      </c>
      <c r="Y20" s="8" t="s">
        <v>70</v>
      </c>
      <c r="Z20" s="8" t="s">
        <v>71</v>
      </c>
      <c r="AA20" s="8" t="s">
        <v>70</v>
      </c>
      <c r="AB20" s="8" t="s">
        <v>70</v>
      </c>
      <c r="AC20" s="8"/>
      <c r="AD20" s="8" t="s">
        <v>70</v>
      </c>
      <c r="AE20" s="8" t="s">
        <v>70</v>
      </c>
      <c r="AF20" s="8" t="s">
        <v>70</v>
      </c>
      <c r="AG20" s="8" t="s">
        <v>71</v>
      </c>
      <c r="AH20" s="8" t="s">
        <v>70</v>
      </c>
      <c r="AI20" s="9"/>
      <c r="AJ20" s="8">
        <f t="shared" si="2"/>
        <v>27</v>
      </c>
      <c r="AK20" s="8">
        <f t="shared" si="3"/>
        <v>25</v>
      </c>
      <c r="AL20" s="10">
        <f t="shared" si="3"/>
        <v>2</v>
      </c>
    </row>
    <row r="21" spans="2:38" ht="17.399999999999999" x14ac:dyDescent="0.3">
      <c r="B21" s="7">
        <v>3440</v>
      </c>
      <c r="C21" s="1" t="s">
        <v>17</v>
      </c>
      <c r="D21" s="8" t="s">
        <v>70</v>
      </c>
      <c r="E21" s="8" t="s">
        <v>70</v>
      </c>
      <c r="F21" s="8" t="s">
        <v>70</v>
      </c>
      <c r="G21" s="8" t="s">
        <v>70</v>
      </c>
      <c r="H21" s="8"/>
      <c r="I21" s="8" t="s">
        <v>70</v>
      </c>
      <c r="J21" s="8" t="s">
        <v>70</v>
      </c>
      <c r="K21" s="8" t="s">
        <v>70</v>
      </c>
      <c r="L21" s="8" t="s">
        <v>70</v>
      </c>
      <c r="M21" s="8" t="s">
        <v>70</v>
      </c>
      <c r="N21" s="8" t="s">
        <v>70</v>
      </c>
      <c r="O21" s="8"/>
      <c r="P21" s="8" t="s">
        <v>70</v>
      </c>
      <c r="Q21" s="8" t="s">
        <v>70</v>
      </c>
      <c r="R21" s="8" t="s">
        <v>70</v>
      </c>
      <c r="S21" s="8" t="s">
        <v>70</v>
      </c>
      <c r="T21" s="8" t="s">
        <v>70</v>
      </c>
      <c r="U21" s="8" t="s">
        <v>70</v>
      </c>
      <c r="V21" s="8"/>
      <c r="W21" s="8" t="s">
        <v>70</v>
      </c>
      <c r="X21" s="8" t="s">
        <v>70</v>
      </c>
      <c r="Y21" s="8" t="s">
        <v>70</v>
      </c>
      <c r="Z21" s="8" t="s">
        <v>70</v>
      </c>
      <c r="AA21" s="8" t="s">
        <v>70</v>
      </c>
      <c r="AB21" s="8" t="s">
        <v>70</v>
      </c>
      <c r="AC21" s="8"/>
      <c r="AD21" s="8" t="s">
        <v>70</v>
      </c>
      <c r="AE21" s="8" t="s">
        <v>70</v>
      </c>
      <c r="AF21" s="8" t="s">
        <v>70</v>
      </c>
      <c r="AG21" s="8" t="s">
        <v>70</v>
      </c>
      <c r="AH21" s="8" t="s">
        <v>70</v>
      </c>
      <c r="AI21" s="9"/>
      <c r="AJ21" s="8">
        <f t="shared" si="2"/>
        <v>27</v>
      </c>
      <c r="AK21" s="8">
        <f t="shared" si="3"/>
        <v>27</v>
      </c>
      <c r="AL21" s="10">
        <f t="shared" si="3"/>
        <v>0</v>
      </c>
    </row>
    <row r="22" spans="2:38" ht="17.399999999999999" x14ac:dyDescent="0.3">
      <c r="B22" s="7">
        <v>3441</v>
      </c>
      <c r="C22" s="1" t="s">
        <v>18</v>
      </c>
      <c r="D22" s="8" t="s">
        <v>70</v>
      </c>
      <c r="E22" s="8" t="s">
        <v>70</v>
      </c>
      <c r="F22" s="8" t="s">
        <v>70</v>
      </c>
      <c r="G22" s="8" t="s">
        <v>70</v>
      </c>
      <c r="H22" s="8"/>
      <c r="I22" s="8" t="s">
        <v>70</v>
      </c>
      <c r="J22" s="8" t="s">
        <v>70</v>
      </c>
      <c r="K22" s="8" t="s">
        <v>70</v>
      </c>
      <c r="L22" s="8" t="s">
        <v>71</v>
      </c>
      <c r="M22" s="8" t="s">
        <v>70</v>
      </c>
      <c r="N22" s="8" t="s">
        <v>70</v>
      </c>
      <c r="O22" s="8"/>
      <c r="P22" s="8" t="s">
        <v>70</v>
      </c>
      <c r="Q22" s="8" t="s">
        <v>70</v>
      </c>
      <c r="R22" s="8" t="s">
        <v>70</v>
      </c>
      <c r="S22" s="8" t="s">
        <v>70</v>
      </c>
      <c r="T22" s="8" t="s">
        <v>70</v>
      </c>
      <c r="U22" s="8" t="s">
        <v>70</v>
      </c>
      <c r="V22" s="8"/>
      <c r="W22" s="8" t="s">
        <v>70</v>
      </c>
      <c r="X22" s="8" t="s">
        <v>70</v>
      </c>
      <c r="Y22" s="8" t="s">
        <v>70</v>
      </c>
      <c r="Z22" s="8" t="s">
        <v>70</v>
      </c>
      <c r="AA22" s="8" t="s">
        <v>70</v>
      </c>
      <c r="AB22" s="8" t="s">
        <v>70</v>
      </c>
      <c r="AC22" s="8"/>
      <c r="AD22" s="8" t="s">
        <v>70</v>
      </c>
      <c r="AE22" s="8" t="s">
        <v>70</v>
      </c>
      <c r="AF22" s="8" t="s">
        <v>70</v>
      </c>
      <c r="AG22" s="8" t="s">
        <v>70</v>
      </c>
      <c r="AH22" s="8" t="s">
        <v>70</v>
      </c>
      <c r="AI22" s="9"/>
      <c r="AJ22" s="8">
        <f t="shared" si="2"/>
        <v>27</v>
      </c>
      <c r="AK22" s="8">
        <f t="shared" si="3"/>
        <v>26</v>
      </c>
      <c r="AL22" s="10">
        <f t="shared" si="3"/>
        <v>1</v>
      </c>
    </row>
    <row r="23" spans="2:38" ht="17.399999999999999" x14ac:dyDescent="0.3">
      <c r="B23" s="7">
        <v>3442</v>
      </c>
      <c r="C23" s="1" t="s">
        <v>19</v>
      </c>
      <c r="D23" s="8" t="s">
        <v>70</v>
      </c>
      <c r="E23" s="8" t="s">
        <v>70</v>
      </c>
      <c r="F23" s="8" t="s">
        <v>71</v>
      </c>
      <c r="G23" s="8" t="s">
        <v>70</v>
      </c>
      <c r="H23" s="8"/>
      <c r="I23" s="8" t="s">
        <v>70</v>
      </c>
      <c r="J23" s="8" t="s">
        <v>70</v>
      </c>
      <c r="K23" s="8" t="s">
        <v>70</v>
      </c>
      <c r="L23" s="8" t="s">
        <v>70</v>
      </c>
      <c r="M23" s="8" t="s">
        <v>70</v>
      </c>
      <c r="N23" s="8" t="s">
        <v>70</v>
      </c>
      <c r="O23" s="8"/>
      <c r="P23" s="8" t="s">
        <v>70</v>
      </c>
      <c r="Q23" s="8" t="s">
        <v>70</v>
      </c>
      <c r="R23" s="8" t="s">
        <v>70</v>
      </c>
      <c r="S23" s="8" t="s">
        <v>70</v>
      </c>
      <c r="T23" s="8" t="s">
        <v>71</v>
      </c>
      <c r="U23" s="8" t="s">
        <v>70</v>
      </c>
      <c r="V23" s="8"/>
      <c r="W23" s="8" t="s">
        <v>70</v>
      </c>
      <c r="X23" s="8" t="s">
        <v>70</v>
      </c>
      <c r="Y23" s="8" t="s">
        <v>70</v>
      </c>
      <c r="Z23" s="8" t="s">
        <v>70</v>
      </c>
      <c r="AA23" s="8" t="s">
        <v>70</v>
      </c>
      <c r="AB23" s="8" t="s">
        <v>70</v>
      </c>
      <c r="AC23" s="8"/>
      <c r="AD23" s="8" t="s">
        <v>70</v>
      </c>
      <c r="AE23" s="8" t="s">
        <v>70</v>
      </c>
      <c r="AF23" s="8" t="s">
        <v>70</v>
      </c>
      <c r="AG23" s="8" t="s">
        <v>70</v>
      </c>
      <c r="AH23" s="8" t="s">
        <v>70</v>
      </c>
      <c r="AI23" s="9"/>
      <c r="AJ23" s="8">
        <f t="shared" si="2"/>
        <v>27</v>
      </c>
      <c r="AK23" s="8">
        <f t="shared" si="3"/>
        <v>25</v>
      </c>
      <c r="AL23" s="10">
        <f t="shared" si="3"/>
        <v>2</v>
      </c>
    </row>
    <row r="24" spans="2:38" ht="17.399999999999999" x14ac:dyDescent="0.3">
      <c r="B24" s="7">
        <v>3443</v>
      </c>
      <c r="C24" s="1" t="s">
        <v>20</v>
      </c>
      <c r="D24" s="8" t="s">
        <v>70</v>
      </c>
      <c r="E24" s="8" t="s">
        <v>70</v>
      </c>
      <c r="F24" s="8" t="s">
        <v>70</v>
      </c>
      <c r="G24" s="8" t="s">
        <v>70</v>
      </c>
      <c r="H24" s="8"/>
      <c r="I24" s="8" t="s">
        <v>70</v>
      </c>
      <c r="J24" s="8" t="s">
        <v>70</v>
      </c>
      <c r="K24" s="8" t="s">
        <v>70</v>
      </c>
      <c r="L24" s="8" t="s">
        <v>70</v>
      </c>
      <c r="M24" s="8" t="s">
        <v>70</v>
      </c>
      <c r="N24" s="8" t="s">
        <v>70</v>
      </c>
      <c r="O24" s="8"/>
      <c r="P24" s="8" t="s">
        <v>70</v>
      </c>
      <c r="Q24" s="8" t="s">
        <v>70</v>
      </c>
      <c r="R24" s="8" t="s">
        <v>70</v>
      </c>
      <c r="S24" s="8" t="s">
        <v>70</v>
      </c>
      <c r="T24" s="8" t="s">
        <v>70</v>
      </c>
      <c r="U24" s="8" t="s">
        <v>70</v>
      </c>
      <c r="V24" s="8"/>
      <c r="W24" s="8" t="s">
        <v>70</v>
      </c>
      <c r="X24" s="8" t="s">
        <v>70</v>
      </c>
      <c r="Y24" s="8" t="s">
        <v>70</v>
      </c>
      <c r="Z24" s="8" t="s">
        <v>71</v>
      </c>
      <c r="AA24" s="8" t="s">
        <v>70</v>
      </c>
      <c r="AB24" s="8" t="s">
        <v>70</v>
      </c>
      <c r="AC24" s="8"/>
      <c r="AD24" s="8" t="s">
        <v>70</v>
      </c>
      <c r="AE24" s="8" t="s">
        <v>70</v>
      </c>
      <c r="AF24" s="8" t="s">
        <v>70</v>
      </c>
      <c r="AG24" s="8" t="s">
        <v>70</v>
      </c>
      <c r="AH24" s="8" t="s">
        <v>70</v>
      </c>
      <c r="AI24" s="9"/>
      <c r="AJ24" s="8">
        <f t="shared" si="2"/>
        <v>27</v>
      </c>
      <c r="AK24" s="8">
        <f t="shared" si="3"/>
        <v>26</v>
      </c>
      <c r="AL24" s="10">
        <f t="shared" si="3"/>
        <v>1</v>
      </c>
    </row>
    <row r="25" spans="2:38" ht="17.399999999999999" x14ac:dyDescent="0.3">
      <c r="B25" s="7">
        <v>3444</v>
      </c>
      <c r="C25" s="1" t="s">
        <v>21</v>
      </c>
      <c r="D25" s="8" t="s">
        <v>70</v>
      </c>
      <c r="E25" s="8" t="s">
        <v>70</v>
      </c>
      <c r="F25" s="8" t="s">
        <v>70</v>
      </c>
      <c r="G25" s="8" t="s">
        <v>70</v>
      </c>
      <c r="H25" s="8"/>
      <c r="I25" s="8" t="s">
        <v>70</v>
      </c>
      <c r="J25" s="8" t="s">
        <v>70</v>
      </c>
      <c r="K25" s="8" t="s">
        <v>70</v>
      </c>
      <c r="L25" s="8" t="s">
        <v>70</v>
      </c>
      <c r="M25" s="8" t="s">
        <v>70</v>
      </c>
      <c r="N25" s="8" t="s">
        <v>71</v>
      </c>
      <c r="O25" s="8"/>
      <c r="P25" s="8" t="s">
        <v>70</v>
      </c>
      <c r="Q25" s="8" t="s">
        <v>70</v>
      </c>
      <c r="R25" s="8" t="s">
        <v>70</v>
      </c>
      <c r="S25" s="8" t="s">
        <v>70</v>
      </c>
      <c r="T25" s="8" t="s">
        <v>70</v>
      </c>
      <c r="U25" s="8" t="s">
        <v>70</v>
      </c>
      <c r="V25" s="8"/>
      <c r="W25" s="8" t="s">
        <v>70</v>
      </c>
      <c r="X25" s="8" t="s">
        <v>70</v>
      </c>
      <c r="Y25" s="8" t="s">
        <v>70</v>
      </c>
      <c r="Z25" s="8" t="s">
        <v>70</v>
      </c>
      <c r="AA25" s="8" t="s">
        <v>70</v>
      </c>
      <c r="AB25" s="8" t="s">
        <v>70</v>
      </c>
      <c r="AC25" s="8"/>
      <c r="AD25" s="8" t="s">
        <v>70</v>
      </c>
      <c r="AE25" s="8" t="s">
        <v>70</v>
      </c>
      <c r="AF25" s="8" t="s">
        <v>70</v>
      </c>
      <c r="AG25" s="8" t="s">
        <v>70</v>
      </c>
      <c r="AH25" s="8" t="s">
        <v>70</v>
      </c>
      <c r="AI25" s="9"/>
      <c r="AJ25" s="8">
        <f t="shared" si="2"/>
        <v>27</v>
      </c>
      <c r="AK25" s="8">
        <f t="shared" si="3"/>
        <v>26</v>
      </c>
      <c r="AL25" s="10">
        <f t="shared" si="3"/>
        <v>1</v>
      </c>
    </row>
    <row r="26" spans="2:38" ht="17.399999999999999" x14ac:dyDescent="0.3">
      <c r="B26" s="7">
        <v>3445</v>
      </c>
      <c r="C26" s="1" t="s">
        <v>22</v>
      </c>
      <c r="D26" s="8" t="s">
        <v>70</v>
      </c>
      <c r="E26" s="8" t="s">
        <v>70</v>
      </c>
      <c r="F26" s="8" t="s">
        <v>70</v>
      </c>
      <c r="G26" s="8" t="s">
        <v>70</v>
      </c>
      <c r="H26" s="8"/>
      <c r="I26" s="8" t="s">
        <v>70</v>
      </c>
      <c r="J26" s="8" t="s">
        <v>70</v>
      </c>
      <c r="K26" s="8" t="s">
        <v>70</v>
      </c>
      <c r="L26" s="8" t="s">
        <v>70</v>
      </c>
      <c r="M26" s="8" t="s">
        <v>70</v>
      </c>
      <c r="N26" s="8" t="s">
        <v>70</v>
      </c>
      <c r="O26" s="8"/>
      <c r="P26" s="8" t="s">
        <v>70</v>
      </c>
      <c r="Q26" s="8" t="s">
        <v>70</v>
      </c>
      <c r="R26" s="8" t="s">
        <v>70</v>
      </c>
      <c r="S26" s="8" t="s">
        <v>70</v>
      </c>
      <c r="T26" s="8" t="s">
        <v>70</v>
      </c>
      <c r="U26" s="8" t="s">
        <v>70</v>
      </c>
      <c r="V26" s="8"/>
      <c r="W26" s="8" t="s">
        <v>70</v>
      </c>
      <c r="X26" s="8" t="s">
        <v>70</v>
      </c>
      <c r="Y26" s="8" t="s">
        <v>70</v>
      </c>
      <c r="Z26" s="8" t="s">
        <v>70</v>
      </c>
      <c r="AA26" s="8" t="s">
        <v>70</v>
      </c>
      <c r="AB26" s="8" t="s">
        <v>70</v>
      </c>
      <c r="AC26" s="8"/>
      <c r="AD26" s="8" t="s">
        <v>70</v>
      </c>
      <c r="AE26" s="8" t="s">
        <v>70</v>
      </c>
      <c r="AF26" s="8" t="s">
        <v>70</v>
      </c>
      <c r="AG26" s="8" t="s">
        <v>70</v>
      </c>
      <c r="AH26" s="8" t="s">
        <v>70</v>
      </c>
      <c r="AI26" s="9"/>
      <c r="AJ26" s="8">
        <f t="shared" si="2"/>
        <v>27</v>
      </c>
      <c r="AK26" s="8">
        <f t="shared" si="3"/>
        <v>27</v>
      </c>
      <c r="AL26" s="10">
        <f t="shared" si="3"/>
        <v>0</v>
      </c>
    </row>
    <row r="27" spans="2:38" ht="17.399999999999999" x14ac:dyDescent="0.3">
      <c r="B27" s="7">
        <v>3446</v>
      </c>
      <c r="C27" s="1" t="s">
        <v>23</v>
      </c>
      <c r="D27" s="8" t="s">
        <v>70</v>
      </c>
      <c r="E27" s="8" t="s">
        <v>70</v>
      </c>
      <c r="F27" s="8" t="s">
        <v>70</v>
      </c>
      <c r="G27" s="8" t="s">
        <v>70</v>
      </c>
      <c r="H27" s="8"/>
      <c r="I27" s="8" t="s">
        <v>70</v>
      </c>
      <c r="J27" s="8" t="s">
        <v>70</v>
      </c>
      <c r="K27" s="8" t="s">
        <v>70</v>
      </c>
      <c r="L27" s="8" t="s">
        <v>70</v>
      </c>
      <c r="M27" s="8" t="s">
        <v>70</v>
      </c>
      <c r="N27" s="8" t="s">
        <v>70</v>
      </c>
      <c r="O27" s="8"/>
      <c r="P27" s="8" t="s">
        <v>70</v>
      </c>
      <c r="Q27" s="8" t="s">
        <v>70</v>
      </c>
      <c r="R27" s="8" t="s">
        <v>70</v>
      </c>
      <c r="S27" s="8" t="s">
        <v>70</v>
      </c>
      <c r="T27" s="8" t="s">
        <v>70</v>
      </c>
      <c r="U27" s="8" t="s">
        <v>70</v>
      </c>
      <c r="V27" s="8"/>
      <c r="W27" s="8" t="s">
        <v>70</v>
      </c>
      <c r="X27" s="8" t="s">
        <v>70</v>
      </c>
      <c r="Y27" s="8" t="s">
        <v>70</v>
      </c>
      <c r="Z27" s="8" t="s">
        <v>70</v>
      </c>
      <c r="AA27" s="8" t="s">
        <v>70</v>
      </c>
      <c r="AB27" s="8" t="s">
        <v>70</v>
      </c>
      <c r="AC27" s="8"/>
      <c r="AD27" s="8" t="s">
        <v>70</v>
      </c>
      <c r="AE27" s="8" t="s">
        <v>70</v>
      </c>
      <c r="AF27" s="8" t="s">
        <v>70</v>
      </c>
      <c r="AG27" s="8" t="s">
        <v>70</v>
      </c>
      <c r="AH27" s="8" t="s">
        <v>70</v>
      </c>
      <c r="AI27" s="9"/>
      <c r="AJ27" s="8">
        <f t="shared" si="2"/>
        <v>27</v>
      </c>
      <c r="AK27" s="8">
        <f t="shared" si="3"/>
        <v>27</v>
      </c>
      <c r="AL27" s="10">
        <f t="shared" si="3"/>
        <v>0</v>
      </c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51" priority="1" operator="containsText" text="A">
      <formula>NOT(ISERROR(SEARCH("A",D8)))</formula>
    </cfRule>
    <cfRule type="expression" dxfId="50" priority="5">
      <formula>D$6="Sun"</formula>
    </cfRule>
    <cfRule type="expression" dxfId="49" priority="6">
      <formula>D$6="Sun"</formula>
    </cfRule>
  </conditionalFormatting>
  <conditionalFormatting sqref="D6:AL7">
    <cfRule type="notContainsBlanks" dxfId="48" priority="2">
      <formula>LEN(TRIM(D6))&gt;0</formula>
    </cfRule>
    <cfRule type="notContainsBlanks" dxfId="47" priority="3">
      <formula>LEN(TRIM(D6))&gt;0</formula>
    </cfRule>
  </conditionalFormatting>
  <conditionalFormatting sqref="D6:AL27">
    <cfRule type="expression" dxfId="46" priority="4">
      <formula>D$6&lt;&gt;""</formula>
    </cfRule>
  </conditionalFormatting>
  <dataValidations count="4">
    <dataValidation type="custom" allowBlank="1" showInputMessage="1" showErrorMessage="1" errorTitle="Info" error="Week Off" sqref="D6:AH27" xr:uid="{00000000-0002-0000-0900-000000000000}">
      <formula1>D$6&lt;&gt;"Sun"</formula1>
    </dataValidation>
    <dataValidation type="custom" allowBlank="1" showInputMessage="1" showErrorMessage="1" errorTitle="Info" error="Week Off" sqref="AI6:AL27" xr:uid="{00000000-0002-0000-0900-000001000000}">
      <formula1>AI$6&lt;&gt;""</formula1>
    </dataValidation>
    <dataValidation type="list" allowBlank="1" showInputMessage="1" showErrorMessage="1" sqref="C4" xr:uid="{00000000-0002-0000-0900-000002000000}">
      <formula1>"2024"</formula1>
    </dataValidation>
    <dataValidation type="list" allowBlank="1" showInputMessage="1" showErrorMessage="1" sqref="C3" xr:uid="{00000000-0002-0000-0900-000003000000}">
      <formula1>"JANUARY,FEBRUARY,MARCH,APRIL,MAY,JUNE,JULY,AUGUST,SEPTEMBER,NOVEMBER,DECEMBER"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L27"/>
  <sheetViews>
    <sheetView showGridLines="0" zoomScale="40" zoomScaleNormal="40" workbookViewId="0"/>
  </sheetViews>
  <sheetFormatPr defaultRowHeight="14.4" x14ac:dyDescent="0.3"/>
  <cols>
    <col min="1" max="1" width="39" customWidth="1"/>
    <col min="2" max="2" width="27.6640625" bestFit="1" customWidth="1"/>
    <col min="3" max="3" width="23.44140625" bestFit="1" customWidth="1"/>
    <col min="4" max="33" width="10.109375" bestFit="1" customWidth="1"/>
    <col min="34" max="34" width="4.109375" bestFit="1" customWidth="1"/>
    <col min="35" max="35" width="29.5546875" customWidth="1"/>
    <col min="36" max="36" width="17" bestFit="1" customWidth="1"/>
    <col min="37" max="37" width="13.44140625" customWidth="1"/>
    <col min="38" max="38" width="3.6640625" bestFit="1" customWidth="1"/>
    <col min="39" max="39" width="5.88671875" customWidth="1"/>
  </cols>
  <sheetData>
    <row r="1" spans="1:38" ht="108" customHeight="1" thickBot="1" x14ac:dyDescent="0.35"/>
    <row r="2" spans="1:38" ht="55.2" x14ac:dyDescent="1.3">
      <c r="A2" s="196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3.4" x14ac:dyDescent="0.45">
      <c r="B3" s="34" t="s">
        <v>64</v>
      </c>
      <c r="C3" s="35" t="s">
        <v>76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3.4" x14ac:dyDescent="0.45">
      <c r="B4" s="34" t="s">
        <v>65</v>
      </c>
      <c r="C4" s="35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21.6" thickBot="1" x14ac:dyDescent="0.45">
      <c r="B5" s="19">
        <f>DATEVALUE("1"&amp;C3&amp;C4)</f>
        <v>45444</v>
      </c>
      <c r="C5" s="20">
        <f>EOMONTH(B5,0)</f>
        <v>45473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61.5" customHeight="1" x14ac:dyDescent="0.4">
      <c r="B6" s="302" t="s">
        <v>2</v>
      </c>
      <c r="C6" s="303" t="s">
        <v>3</v>
      </c>
      <c r="D6" s="74" t="str">
        <f>TEXT(D7,"DDD")</f>
        <v>Sat</v>
      </c>
      <c r="E6" s="74" t="str">
        <f t="shared" ref="E6:AG6" si="0">TEXT(E7,"DDD")</f>
        <v>Sun</v>
      </c>
      <c r="F6" s="74" t="str">
        <f t="shared" si="0"/>
        <v>Mon</v>
      </c>
      <c r="G6" s="74" t="str">
        <f t="shared" si="0"/>
        <v>Tue</v>
      </c>
      <c r="H6" s="74" t="str">
        <f t="shared" si="0"/>
        <v>Wed</v>
      </c>
      <c r="I6" s="74" t="str">
        <f t="shared" si="0"/>
        <v>Thu</v>
      </c>
      <c r="J6" s="74" t="str">
        <f t="shared" si="0"/>
        <v>Fri</v>
      </c>
      <c r="K6" s="74" t="str">
        <f t="shared" si="0"/>
        <v>Sat</v>
      </c>
      <c r="L6" s="74" t="str">
        <f t="shared" si="0"/>
        <v>Sun</v>
      </c>
      <c r="M6" s="74" t="str">
        <f t="shared" si="0"/>
        <v>Mon</v>
      </c>
      <c r="N6" s="74" t="str">
        <f t="shared" si="0"/>
        <v>Tue</v>
      </c>
      <c r="O6" s="74" t="str">
        <f t="shared" si="0"/>
        <v>Wed</v>
      </c>
      <c r="P6" s="74" t="str">
        <f t="shared" si="0"/>
        <v>Thu</v>
      </c>
      <c r="Q6" s="74" t="str">
        <f t="shared" si="0"/>
        <v>Fri</v>
      </c>
      <c r="R6" s="74" t="str">
        <f t="shared" si="0"/>
        <v>Sat</v>
      </c>
      <c r="S6" s="74" t="str">
        <f t="shared" si="0"/>
        <v>Sun</v>
      </c>
      <c r="T6" s="74" t="str">
        <f t="shared" si="0"/>
        <v>Mon</v>
      </c>
      <c r="U6" s="74" t="str">
        <f t="shared" si="0"/>
        <v>Tue</v>
      </c>
      <c r="V6" s="74" t="str">
        <f t="shared" si="0"/>
        <v>Wed</v>
      </c>
      <c r="W6" s="74" t="str">
        <f t="shared" si="0"/>
        <v>Thu</v>
      </c>
      <c r="X6" s="74" t="str">
        <f t="shared" si="0"/>
        <v>Fri</v>
      </c>
      <c r="Y6" s="74" t="str">
        <f t="shared" si="0"/>
        <v>Sat</v>
      </c>
      <c r="Z6" s="74" t="str">
        <f t="shared" si="0"/>
        <v>Sun</v>
      </c>
      <c r="AA6" s="74" t="str">
        <f t="shared" si="0"/>
        <v>Mon</v>
      </c>
      <c r="AB6" s="74" t="str">
        <f t="shared" si="0"/>
        <v>Tue</v>
      </c>
      <c r="AC6" s="74" t="str">
        <f t="shared" si="0"/>
        <v>Wed</v>
      </c>
      <c r="AD6" s="74" t="str">
        <f t="shared" si="0"/>
        <v>Thu</v>
      </c>
      <c r="AE6" s="74" t="str">
        <f t="shared" si="0"/>
        <v>Fri</v>
      </c>
      <c r="AF6" s="74" t="str">
        <f t="shared" si="0"/>
        <v>Sat</v>
      </c>
      <c r="AG6" s="74" t="str">
        <f t="shared" si="0"/>
        <v>Sun</v>
      </c>
      <c r="AH6" s="22"/>
      <c r="AI6" s="304" t="s">
        <v>69</v>
      </c>
      <c r="AJ6" s="304" t="s">
        <v>70</v>
      </c>
      <c r="AK6" s="305" t="s">
        <v>71</v>
      </c>
    </row>
    <row r="7" spans="1:38" ht="47.25" customHeight="1" x14ac:dyDescent="0.45">
      <c r="B7" s="278"/>
      <c r="C7" s="279"/>
      <c r="D7" s="75">
        <f>B5</f>
        <v>45444</v>
      </c>
      <c r="E7" s="75">
        <f>IFERROR(IF(D7+1&gt;$C$5,"",D7+1),"")</f>
        <v>45445</v>
      </c>
      <c r="F7" s="75">
        <f t="shared" ref="F7:AG7" si="1">IFERROR(IF(E7+1&gt;$C$5,"",E7+1),"")</f>
        <v>45446</v>
      </c>
      <c r="G7" s="75">
        <f t="shared" si="1"/>
        <v>45447</v>
      </c>
      <c r="H7" s="75">
        <f t="shared" si="1"/>
        <v>45448</v>
      </c>
      <c r="I7" s="75">
        <f t="shared" si="1"/>
        <v>45449</v>
      </c>
      <c r="J7" s="75">
        <f t="shared" si="1"/>
        <v>45450</v>
      </c>
      <c r="K7" s="75">
        <f t="shared" si="1"/>
        <v>45451</v>
      </c>
      <c r="L7" s="75">
        <f t="shared" si="1"/>
        <v>45452</v>
      </c>
      <c r="M7" s="75">
        <f t="shared" si="1"/>
        <v>45453</v>
      </c>
      <c r="N7" s="75">
        <f t="shared" si="1"/>
        <v>45454</v>
      </c>
      <c r="O7" s="75">
        <f t="shared" si="1"/>
        <v>45455</v>
      </c>
      <c r="P7" s="75">
        <f t="shared" si="1"/>
        <v>45456</v>
      </c>
      <c r="Q7" s="75">
        <f t="shared" si="1"/>
        <v>45457</v>
      </c>
      <c r="R7" s="75">
        <f t="shared" si="1"/>
        <v>45458</v>
      </c>
      <c r="S7" s="75">
        <f>IFERROR(IF(R7+1&gt;$C$5,"",R7+1),"")</f>
        <v>45459</v>
      </c>
      <c r="T7" s="75">
        <f t="shared" si="1"/>
        <v>45460</v>
      </c>
      <c r="U7" s="75">
        <f t="shared" si="1"/>
        <v>45461</v>
      </c>
      <c r="V7" s="75">
        <f t="shared" si="1"/>
        <v>45462</v>
      </c>
      <c r="W7" s="75">
        <f t="shared" si="1"/>
        <v>45463</v>
      </c>
      <c r="X7" s="75">
        <f t="shared" si="1"/>
        <v>45464</v>
      </c>
      <c r="Y7" s="75">
        <f t="shared" si="1"/>
        <v>45465</v>
      </c>
      <c r="Z7" s="75">
        <f>IFERROR(IF(Y7+1&gt;$C$5,"",Y7+1),"")</f>
        <v>45466</v>
      </c>
      <c r="AA7" s="75">
        <f t="shared" si="1"/>
        <v>45467</v>
      </c>
      <c r="AB7" s="75">
        <f t="shared" si="1"/>
        <v>45468</v>
      </c>
      <c r="AC7" s="75">
        <f t="shared" si="1"/>
        <v>45469</v>
      </c>
      <c r="AD7" s="75">
        <f t="shared" si="1"/>
        <v>45470</v>
      </c>
      <c r="AE7" s="75">
        <f t="shared" si="1"/>
        <v>45471</v>
      </c>
      <c r="AF7" s="75">
        <f t="shared" si="1"/>
        <v>45472</v>
      </c>
      <c r="AG7" s="75">
        <f t="shared" si="1"/>
        <v>45473</v>
      </c>
      <c r="AH7" s="22"/>
      <c r="AI7" s="304"/>
      <c r="AJ7" s="304"/>
      <c r="AK7" s="305"/>
    </row>
    <row r="8" spans="1:38" ht="24.6" x14ac:dyDescent="0.4">
      <c r="B8" s="30">
        <v>3427</v>
      </c>
      <c r="C8" s="31" t="s">
        <v>4</v>
      </c>
      <c r="D8" s="24" t="s">
        <v>70</v>
      </c>
      <c r="E8" s="24"/>
      <c r="F8" s="24" t="s">
        <v>70</v>
      </c>
      <c r="G8" s="24" t="s">
        <v>70</v>
      </c>
      <c r="H8" s="24" t="s">
        <v>71</v>
      </c>
      <c r="I8" s="24" t="s">
        <v>70</v>
      </c>
      <c r="J8" s="24" t="s">
        <v>70</v>
      </c>
      <c r="K8" s="24" t="s">
        <v>70</v>
      </c>
      <c r="L8" s="24"/>
      <c r="M8" s="24" t="s">
        <v>70</v>
      </c>
      <c r="N8" s="24" t="s">
        <v>70</v>
      </c>
      <c r="O8" s="24" t="s">
        <v>70</v>
      </c>
      <c r="P8" s="24" t="s">
        <v>70</v>
      </c>
      <c r="Q8" s="24" t="s">
        <v>70</v>
      </c>
      <c r="R8" s="24" t="s">
        <v>70</v>
      </c>
      <c r="S8" s="24"/>
      <c r="T8" s="24" t="s">
        <v>70</v>
      </c>
      <c r="U8" s="24" t="s">
        <v>70</v>
      </c>
      <c r="V8" s="24" t="s">
        <v>70</v>
      </c>
      <c r="W8" s="24" t="s">
        <v>70</v>
      </c>
      <c r="X8" s="24" t="s">
        <v>70</v>
      </c>
      <c r="Y8" s="24" t="s">
        <v>70</v>
      </c>
      <c r="Z8" s="24"/>
      <c r="AA8" s="24" t="s">
        <v>71</v>
      </c>
      <c r="AB8" s="24" t="s">
        <v>70</v>
      </c>
      <c r="AC8" s="24" t="s">
        <v>70</v>
      </c>
      <c r="AD8" s="24" t="s">
        <v>70</v>
      </c>
      <c r="AE8" s="24" t="s">
        <v>70</v>
      </c>
      <c r="AF8" s="24" t="s">
        <v>70</v>
      </c>
      <c r="AG8" s="24"/>
      <c r="AH8" s="25"/>
      <c r="AI8" s="24">
        <f>SUM(AJ8,AK8)</f>
        <v>25</v>
      </c>
      <c r="AJ8" s="24">
        <f t="shared" ref="AJ8:AJ27" si="2">COUNTIF(D8:AG8,AJ$6)</f>
        <v>23</v>
      </c>
      <c r="AK8" s="26">
        <f t="shared" ref="AK8:AK27" si="3">COUNTIF(E8:AH8,AK$6)</f>
        <v>2</v>
      </c>
    </row>
    <row r="9" spans="1:38" ht="24.6" x14ac:dyDescent="0.4">
      <c r="B9" s="30">
        <v>3428</v>
      </c>
      <c r="C9" s="31" t="s">
        <v>5</v>
      </c>
      <c r="D9" s="24" t="s">
        <v>70</v>
      </c>
      <c r="E9" s="24"/>
      <c r="F9" s="24" t="s">
        <v>70</v>
      </c>
      <c r="G9" s="24" t="s">
        <v>70</v>
      </c>
      <c r="H9" s="24" t="s">
        <v>70</v>
      </c>
      <c r="I9" s="24" t="s">
        <v>70</v>
      </c>
      <c r="J9" s="24" t="s">
        <v>70</v>
      </c>
      <c r="K9" s="24" t="s">
        <v>70</v>
      </c>
      <c r="L9" s="24"/>
      <c r="M9" s="24" t="s">
        <v>70</v>
      </c>
      <c r="N9" s="24" t="s">
        <v>70</v>
      </c>
      <c r="O9" s="24" t="s">
        <v>70</v>
      </c>
      <c r="P9" s="24" t="s">
        <v>70</v>
      </c>
      <c r="Q9" s="24" t="s">
        <v>70</v>
      </c>
      <c r="R9" s="24" t="s">
        <v>70</v>
      </c>
      <c r="S9" s="24"/>
      <c r="T9" s="24" t="s">
        <v>70</v>
      </c>
      <c r="U9" s="24" t="s">
        <v>70</v>
      </c>
      <c r="V9" s="24" t="s">
        <v>71</v>
      </c>
      <c r="W9" s="24" t="s">
        <v>70</v>
      </c>
      <c r="X9" s="24" t="s">
        <v>70</v>
      </c>
      <c r="Y9" s="24" t="s">
        <v>70</v>
      </c>
      <c r="Z9" s="24"/>
      <c r="AA9" s="24" t="s">
        <v>70</v>
      </c>
      <c r="AB9" s="24" t="s">
        <v>70</v>
      </c>
      <c r="AC9" s="24" t="s">
        <v>70</v>
      </c>
      <c r="AD9" s="24" t="s">
        <v>70</v>
      </c>
      <c r="AE9" s="24" t="s">
        <v>70</v>
      </c>
      <c r="AF9" s="24" t="s">
        <v>70</v>
      </c>
      <c r="AG9" s="24"/>
      <c r="AH9" s="25"/>
      <c r="AI9" s="24">
        <f t="shared" ref="AI9:AI27" si="4">SUM(AJ9,AK9)</f>
        <v>25</v>
      </c>
      <c r="AJ9" s="24">
        <f t="shared" si="2"/>
        <v>24</v>
      </c>
      <c r="AK9" s="26">
        <f t="shared" si="3"/>
        <v>1</v>
      </c>
    </row>
    <row r="10" spans="1:38" ht="24.6" x14ac:dyDescent="0.4">
      <c r="B10" s="30">
        <v>3429</v>
      </c>
      <c r="C10" s="31" t="s">
        <v>6</v>
      </c>
      <c r="D10" s="24" t="s">
        <v>70</v>
      </c>
      <c r="E10" s="24"/>
      <c r="F10" s="24" t="s">
        <v>70</v>
      </c>
      <c r="G10" s="24" t="s">
        <v>70</v>
      </c>
      <c r="H10" s="24" t="s">
        <v>70</v>
      </c>
      <c r="I10" s="24" t="s">
        <v>70</v>
      </c>
      <c r="J10" s="24" t="s">
        <v>70</v>
      </c>
      <c r="K10" s="24" t="s">
        <v>70</v>
      </c>
      <c r="L10" s="24"/>
      <c r="M10" s="24" t="s">
        <v>70</v>
      </c>
      <c r="N10" s="24" t="s">
        <v>70</v>
      </c>
      <c r="O10" s="24" t="s">
        <v>70</v>
      </c>
      <c r="P10" s="24" t="s">
        <v>71</v>
      </c>
      <c r="Q10" s="24" t="s">
        <v>70</v>
      </c>
      <c r="R10" s="24" t="s">
        <v>70</v>
      </c>
      <c r="S10" s="24"/>
      <c r="T10" s="24" t="s">
        <v>70</v>
      </c>
      <c r="U10" s="24" t="s">
        <v>70</v>
      </c>
      <c r="V10" s="24" t="s">
        <v>70</v>
      </c>
      <c r="W10" s="24" t="s">
        <v>70</v>
      </c>
      <c r="X10" s="24" t="s">
        <v>70</v>
      </c>
      <c r="Y10" s="24" t="s">
        <v>70</v>
      </c>
      <c r="Z10" s="24"/>
      <c r="AA10" s="24" t="s">
        <v>70</v>
      </c>
      <c r="AB10" s="24" t="s">
        <v>70</v>
      </c>
      <c r="AC10" s="24" t="s">
        <v>70</v>
      </c>
      <c r="AD10" s="24" t="s">
        <v>70</v>
      </c>
      <c r="AE10" s="24" t="s">
        <v>70</v>
      </c>
      <c r="AF10" s="24" t="s">
        <v>70</v>
      </c>
      <c r="AG10" s="24"/>
      <c r="AH10" s="25"/>
      <c r="AI10" s="24">
        <f t="shared" si="4"/>
        <v>25</v>
      </c>
      <c r="AJ10" s="24">
        <f t="shared" si="2"/>
        <v>24</v>
      </c>
      <c r="AK10" s="26">
        <f t="shared" si="3"/>
        <v>1</v>
      </c>
    </row>
    <row r="11" spans="1:38" ht="24.6" x14ac:dyDescent="0.4">
      <c r="B11" s="30">
        <v>3430</v>
      </c>
      <c r="C11" s="31" t="s">
        <v>7</v>
      </c>
      <c r="D11" s="24" t="s">
        <v>70</v>
      </c>
      <c r="E11" s="24"/>
      <c r="F11" s="24" t="s">
        <v>70</v>
      </c>
      <c r="G11" s="24" t="s">
        <v>70</v>
      </c>
      <c r="H11" s="24" t="s">
        <v>70</v>
      </c>
      <c r="I11" s="24" t="s">
        <v>70</v>
      </c>
      <c r="J11" s="24" t="s">
        <v>70</v>
      </c>
      <c r="K11" s="24" t="s">
        <v>70</v>
      </c>
      <c r="L11" s="24"/>
      <c r="M11" s="24" t="s">
        <v>70</v>
      </c>
      <c r="N11" s="24" t="s">
        <v>70</v>
      </c>
      <c r="O11" s="24" t="s">
        <v>70</v>
      </c>
      <c r="P11" s="24" t="s">
        <v>70</v>
      </c>
      <c r="Q11" s="24" t="s">
        <v>70</v>
      </c>
      <c r="R11" s="24" t="s">
        <v>70</v>
      </c>
      <c r="S11" s="24"/>
      <c r="T11" s="24" t="s">
        <v>70</v>
      </c>
      <c r="U11" s="24" t="s">
        <v>70</v>
      </c>
      <c r="V11" s="24" t="s">
        <v>70</v>
      </c>
      <c r="W11" s="24" t="s">
        <v>70</v>
      </c>
      <c r="X11" s="24" t="s">
        <v>70</v>
      </c>
      <c r="Y11" s="24" t="s">
        <v>70</v>
      </c>
      <c r="Z11" s="24"/>
      <c r="AA11" s="24" t="s">
        <v>70</v>
      </c>
      <c r="AB11" s="24" t="s">
        <v>70</v>
      </c>
      <c r="AC11" s="24" t="s">
        <v>70</v>
      </c>
      <c r="AD11" s="24" t="s">
        <v>70</v>
      </c>
      <c r="AE11" s="24" t="s">
        <v>70</v>
      </c>
      <c r="AF11" s="24" t="s">
        <v>70</v>
      </c>
      <c r="AG11" s="24"/>
      <c r="AH11" s="25"/>
      <c r="AI11" s="24">
        <f t="shared" si="4"/>
        <v>25</v>
      </c>
      <c r="AJ11" s="24">
        <f t="shared" si="2"/>
        <v>25</v>
      </c>
      <c r="AK11" s="26">
        <f t="shared" si="3"/>
        <v>0</v>
      </c>
    </row>
    <row r="12" spans="1:38" ht="24.6" x14ac:dyDescent="0.4">
      <c r="B12" s="30">
        <v>3431</v>
      </c>
      <c r="C12" s="31" t="s">
        <v>8</v>
      </c>
      <c r="D12" s="24" t="s">
        <v>70</v>
      </c>
      <c r="E12" s="24"/>
      <c r="F12" s="24" t="s">
        <v>70</v>
      </c>
      <c r="G12" s="24" t="s">
        <v>71</v>
      </c>
      <c r="H12" s="24" t="s">
        <v>70</v>
      </c>
      <c r="I12" s="24" t="s">
        <v>70</v>
      </c>
      <c r="J12" s="24" t="s">
        <v>70</v>
      </c>
      <c r="K12" s="24" t="s">
        <v>70</v>
      </c>
      <c r="L12" s="24"/>
      <c r="M12" s="24" t="s">
        <v>70</v>
      </c>
      <c r="N12" s="24" t="s">
        <v>70</v>
      </c>
      <c r="O12" s="24" t="s">
        <v>70</v>
      </c>
      <c r="P12" s="24" t="s">
        <v>70</v>
      </c>
      <c r="Q12" s="24" t="s">
        <v>70</v>
      </c>
      <c r="R12" s="24" t="s">
        <v>70</v>
      </c>
      <c r="S12" s="24"/>
      <c r="T12" s="24" t="s">
        <v>70</v>
      </c>
      <c r="U12" s="24" t="s">
        <v>71</v>
      </c>
      <c r="V12" s="24" t="s">
        <v>70</v>
      </c>
      <c r="W12" s="24" t="s">
        <v>70</v>
      </c>
      <c r="X12" s="24" t="s">
        <v>70</v>
      </c>
      <c r="Y12" s="24" t="s">
        <v>70</v>
      </c>
      <c r="Z12" s="24"/>
      <c r="AA12" s="24" t="s">
        <v>70</v>
      </c>
      <c r="AB12" s="24" t="s">
        <v>70</v>
      </c>
      <c r="AC12" s="24" t="s">
        <v>70</v>
      </c>
      <c r="AD12" s="24" t="s">
        <v>70</v>
      </c>
      <c r="AE12" s="24" t="s">
        <v>70</v>
      </c>
      <c r="AF12" s="24" t="s">
        <v>70</v>
      </c>
      <c r="AG12" s="24"/>
      <c r="AH12" s="25"/>
      <c r="AI12" s="24">
        <f t="shared" si="4"/>
        <v>25</v>
      </c>
      <c r="AJ12" s="24">
        <f t="shared" si="2"/>
        <v>23</v>
      </c>
      <c r="AK12" s="26">
        <f t="shared" si="3"/>
        <v>2</v>
      </c>
    </row>
    <row r="13" spans="1:38" ht="24.6" x14ac:dyDescent="0.4">
      <c r="B13" s="30">
        <v>3432</v>
      </c>
      <c r="C13" s="31" t="s">
        <v>9</v>
      </c>
      <c r="D13" s="24" t="s">
        <v>70</v>
      </c>
      <c r="E13" s="24"/>
      <c r="F13" s="24" t="s">
        <v>70</v>
      </c>
      <c r="G13" s="24" t="s">
        <v>70</v>
      </c>
      <c r="H13" s="24" t="s">
        <v>70</v>
      </c>
      <c r="I13" s="24" t="s">
        <v>70</v>
      </c>
      <c r="J13" s="24" t="s">
        <v>70</v>
      </c>
      <c r="K13" s="24" t="s">
        <v>70</v>
      </c>
      <c r="L13" s="24"/>
      <c r="M13" s="24" t="s">
        <v>71</v>
      </c>
      <c r="N13" s="24" t="s">
        <v>70</v>
      </c>
      <c r="O13" s="24" t="s">
        <v>70</v>
      </c>
      <c r="P13" s="24" t="s">
        <v>70</v>
      </c>
      <c r="Q13" s="24" t="s">
        <v>70</v>
      </c>
      <c r="R13" s="24" t="s">
        <v>70</v>
      </c>
      <c r="S13" s="24"/>
      <c r="T13" s="24" t="s">
        <v>70</v>
      </c>
      <c r="U13" s="24" t="s">
        <v>70</v>
      </c>
      <c r="V13" s="24" t="s">
        <v>70</v>
      </c>
      <c r="W13" s="24" t="s">
        <v>70</v>
      </c>
      <c r="X13" s="24" t="s">
        <v>70</v>
      </c>
      <c r="Y13" s="24" t="s">
        <v>70</v>
      </c>
      <c r="Z13" s="24"/>
      <c r="AA13" s="24" t="s">
        <v>70</v>
      </c>
      <c r="AB13" s="24" t="s">
        <v>70</v>
      </c>
      <c r="AC13" s="24" t="s">
        <v>70</v>
      </c>
      <c r="AD13" s="24" t="s">
        <v>70</v>
      </c>
      <c r="AE13" s="24" t="s">
        <v>70</v>
      </c>
      <c r="AF13" s="24" t="s">
        <v>70</v>
      </c>
      <c r="AG13" s="24"/>
      <c r="AH13" s="25"/>
      <c r="AI13" s="24">
        <f t="shared" si="4"/>
        <v>25</v>
      </c>
      <c r="AJ13" s="24">
        <f t="shared" si="2"/>
        <v>24</v>
      </c>
      <c r="AK13" s="26">
        <f t="shared" si="3"/>
        <v>1</v>
      </c>
    </row>
    <row r="14" spans="1:38" ht="24.6" x14ac:dyDescent="0.4">
      <c r="B14" s="30">
        <v>3433</v>
      </c>
      <c r="C14" s="31" t="s">
        <v>10</v>
      </c>
      <c r="D14" s="24" t="s">
        <v>70</v>
      </c>
      <c r="E14" s="24"/>
      <c r="F14" s="24" t="s">
        <v>70</v>
      </c>
      <c r="G14" s="24" t="s">
        <v>70</v>
      </c>
      <c r="H14" s="24" t="s">
        <v>70</v>
      </c>
      <c r="I14" s="24" t="s">
        <v>70</v>
      </c>
      <c r="J14" s="24" t="s">
        <v>70</v>
      </c>
      <c r="K14" s="24" t="s">
        <v>71</v>
      </c>
      <c r="L14" s="24"/>
      <c r="M14" s="24" t="s">
        <v>70</v>
      </c>
      <c r="N14" s="24" t="s">
        <v>70</v>
      </c>
      <c r="O14" s="24" t="s">
        <v>70</v>
      </c>
      <c r="P14" s="24" t="s">
        <v>70</v>
      </c>
      <c r="Q14" s="24" t="s">
        <v>70</v>
      </c>
      <c r="R14" s="24" t="s">
        <v>70</v>
      </c>
      <c r="S14" s="24"/>
      <c r="T14" s="24" t="s">
        <v>70</v>
      </c>
      <c r="U14" s="24" t="s">
        <v>70</v>
      </c>
      <c r="V14" s="24" t="s">
        <v>70</v>
      </c>
      <c r="W14" s="24" t="s">
        <v>70</v>
      </c>
      <c r="X14" s="24" t="s">
        <v>70</v>
      </c>
      <c r="Y14" s="24" t="s">
        <v>70</v>
      </c>
      <c r="Z14" s="24"/>
      <c r="AA14" s="24" t="s">
        <v>70</v>
      </c>
      <c r="AB14" s="24" t="s">
        <v>70</v>
      </c>
      <c r="AC14" s="24" t="s">
        <v>70</v>
      </c>
      <c r="AD14" s="24" t="s">
        <v>70</v>
      </c>
      <c r="AE14" s="24" t="s">
        <v>70</v>
      </c>
      <c r="AF14" s="24" t="s">
        <v>70</v>
      </c>
      <c r="AG14" s="24"/>
      <c r="AH14" s="25"/>
      <c r="AI14" s="24">
        <f t="shared" si="4"/>
        <v>25</v>
      </c>
      <c r="AJ14" s="24">
        <f t="shared" si="2"/>
        <v>24</v>
      </c>
      <c r="AK14" s="26">
        <f t="shared" si="3"/>
        <v>1</v>
      </c>
    </row>
    <row r="15" spans="1:38" ht="24.6" x14ac:dyDescent="0.4">
      <c r="B15" s="30">
        <v>3434</v>
      </c>
      <c r="C15" s="31" t="s">
        <v>11</v>
      </c>
      <c r="D15" s="24" t="s">
        <v>70</v>
      </c>
      <c r="E15" s="24"/>
      <c r="F15" s="24" t="s">
        <v>70</v>
      </c>
      <c r="G15" s="24" t="s">
        <v>70</v>
      </c>
      <c r="H15" s="24" t="s">
        <v>70</v>
      </c>
      <c r="I15" s="24" t="s">
        <v>70</v>
      </c>
      <c r="J15" s="24" t="s">
        <v>70</v>
      </c>
      <c r="K15" s="24" t="s">
        <v>70</v>
      </c>
      <c r="L15" s="24"/>
      <c r="M15" s="24" t="s">
        <v>70</v>
      </c>
      <c r="N15" s="24" t="s">
        <v>70</v>
      </c>
      <c r="O15" s="24" t="s">
        <v>71</v>
      </c>
      <c r="P15" s="24" t="s">
        <v>70</v>
      </c>
      <c r="Q15" s="24" t="s">
        <v>70</v>
      </c>
      <c r="R15" s="24" t="s">
        <v>70</v>
      </c>
      <c r="S15" s="24"/>
      <c r="T15" s="24" t="s">
        <v>70</v>
      </c>
      <c r="U15" s="24" t="s">
        <v>70</v>
      </c>
      <c r="V15" s="24" t="s">
        <v>70</v>
      </c>
      <c r="W15" s="24" t="s">
        <v>70</v>
      </c>
      <c r="X15" s="24" t="s">
        <v>70</v>
      </c>
      <c r="Y15" s="24" t="s">
        <v>70</v>
      </c>
      <c r="Z15" s="24"/>
      <c r="AA15" s="24" t="s">
        <v>70</v>
      </c>
      <c r="AB15" s="24" t="s">
        <v>70</v>
      </c>
      <c r="AC15" s="24" t="s">
        <v>70</v>
      </c>
      <c r="AD15" s="24" t="s">
        <v>70</v>
      </c>
      <c r="AE15" s="24" t="s">
        <v>70</v>
      </c>
      <c r="AF15" s="24" t="s">
        <v>70</v>
      </c>
      <c r="AG15" s="24"/>
      <c r="AH15" s="25"/>
      <c r="AI15" s="24">
        <f t="shared" si="4"/>
        <v>25</v>
      </c>
      <c r="AJ15" s="24">
        <f t="shared" si="2"/>
        <v>24</v>
      </c>
      <c r="AK15" s="26">
        <f t="shared" si="3"/>
        <v>1</v>
      </c>
    </row>
    <row r="16" spans="1:38" ht="24.6" x14ac:dyDescent="0.4">
      <c r="B16" s="30">
        <v>3435</v>
      </c>
      <c r="C16" s="31" t="s">
        <v>12</v>
      </c>
      <c r="D16" s="24" t="s">
        <v>70</v>
      </c>
      <c r="E16" s="24"/>
      <c r="F16" s="24" t="s">
        <v>70</v>
      </c>
      <c r="G16" s="24" t="s">
        <v>70</v>
      </c>
      <c r="H16" s="24" t="s">
        <v>70</v>
      </c>
      <c r="I16" s="24" t="s">
        <v>70</v>
      </c>
      <c r="J16" s="24" t="s">
        <v>70</v>
      </c>
      <c r="K16" s="24" t="s">
        <v>70</v>
      </c>
      <c r="L16" s="24"/>
      <c r="M16" s="24" t="s">
        <v>70</v>
      </c>
      <c r="N16" s="24" t="s">
        <v>70</v>
      </c>
      <c r="O16" s="24" t="s">
        <v>70</v>
      </c>
      <c r="P16" s="24" t="s">
        <v>70</v>
      </c>
      <c r="Q16" s="24" t="s">
        <v>70</v>
      </c>
      <c r="R16" s="24" t="s">
        <v>70</v>
      </c>
      <c r="S16" s="24"/>
      <c r="T16" s="24" t="s">
        <v>70</v>
      </c>
      <c r="U16" s="24" t="s">
        <v>70</v>
      </c>
      <c r="V16" s="24" t="s">
        <v>70</v>
      </c>
      <c r="W16" s="24" t="s">
        <v>70</v>
      </c>
      <c r="X16" s="24" t="s">
        <v>70</v>
      </c>
      <c r="Y16" s="24" t="s">
        <v>70</v>
      </c>
      <c r="Z16" s="24"/>
      <c r="AA16" s="24" t="s">
        <v>70</v>
      </c>
      <c r="AB16" s="24" t="s">
        <v>70</v>
      </c>
      <c r="AC16" s="24" t="s">
        <v>70</v>
      </c>
      <c r="AD16" s="24" t="s">
        <v>70</v>
      </c>
      <c r="AE16" s="24" t="s">
        <v>70</v>
      </c>
      <c r="AF16" s="24" t="s">
        <v>70</v>
      </c>
      <c r="AG16" s="24"/>
      <c r="AH16" s="25"/>
      <c r="AI16" s="24">
        <f t="shared" si="4"/>
        <v>25</v>
      </c>
      <c r="AJ16" s="24">
        <f t="shared" si="2"/>
        <v>25</v>
      </c>
      <c r="AK16" s="26">
        <f t="shared" si="3"/>
        <v>0</v>
      </c>
    </row>
    <row r="17" spans="2:37" ht="24.6" x14ac:dyDescent="0.4">
      <c r="B17" s="30">
        <v>3436</v>
      </c>
      <c r="C17" s="31" t="s">
        <v>13</v>
      </c>
      <c r="D17" s="24" t="s">
        <v>70</v>
      </c>
      <c r="E17" s="24"/>
      <c r="F17" s="24" t="s">
        <v>70</v>
      </c>
      <c r="G17" s="24" t="s">
        <v>71</v>
      </c>
      <c r="H17" s="24" t="s">
        <v>70</v>
      </c>
      <c r="I17" s="24" t="s">
        <v>70</v>
      </c>
      <c r="J17" s="24" t="s">
        <v>70</v>
      </c>
      <c r="K17" s="24" t="s">
        <v>70</v>
      </c>
      <c r="L17" s="24"/>
      <c r="M17" s="24" t="s">
        <v>70</v>
      </c>
      <c r="N17" s="24" t="s">
        <v>70</v>
      </c>
      <c r="O17" s="24" t="s">
        <v>70</v>
      </c>
      <c r="P17" s="24" t="s">
        <v>70</v>
      </c>
      <c r="Q17" s="24" t="s">
        <v>70</v>
      </c>
      <c r="R17" s="24" t="s">
        <v>70</v>
      </c>
      <c r="S17" s="24"/>
      <c r="T17" s="24" t="s">
        <v>70</v>
      </c>
      <c r="U17" s="24" t="s">
        <v>70</v>
      </c>
      <c r="V17" s="24" t="s">
        <v>70</v>
      </c>
      <c r="W17" s="24" t="s">
        <v>70</v>
      </c>
      <c r="X17" s="24" t="s">
        <v>70</v>
      </c>
      <c r="Y17" s="24" t="s">
        <v>70</v>
      </c>
      <c r="Z17" s="24"/>
      <c r="AA17" s="24" t="s">
        <v>70</v>
      </c>
      <c r="AB17" s="24" t="s">
        <v>70</v>
      </c>
      <c r="AC17" s="24" t="s">
        <v>70</v>
      </c>
      <c r="AD17" s="24" t="s">
        <v>70</v>
      </c>
      <c r="AE17" s="24" t="s">
        <v>70</v>
      </c>
      <c r="AF17" s="24" t="s">
        <v>70</v>
      </c>
      <c r="AG17" s="24"/>
      <c r="AH17" s="25"/>
      <c r="AI17" s="24">
        <f t="shared" si="4"/>
        <v>25</v>
      </c>
      <c r="AJ17" s="24">
        <f t="shared" si="2"/>
        <v>24</v>
      </c>
      <c r="AK17" s="26">
        <f t="shared" si="3"/>
        <v>1</v>
      </c>
    </row>
    <row r="18" spans="2:37" ht="24.6" x14ac:dyDescent="0.4">
      <c r="B18" s="30">
        <v>3437</v>
      </c>
      <c r="C18" s="31" t="s">
        <v>14</v>
      </c>
      <c r="D18" s="24" t="s">
        <v>70</v>
      </c>
      <c r="E18" s="24"/>
      <c r="F18" s="24" t="s">
        <v>70</v>
      </c>
      <c r="G18" s="24" t="s">
        <v>70</v>
      </c>
      <c r="H18" s="24" t="s">
        <v>70</v>
      </c>
      <c r="I18" s="24" t="s">
        <v>70</v>
      </c>
      <c r="J18" s="24" t="s">
        <v>70</v>
      </c>
      <c r="K18" s="24" t="s">
        <v>70</v>
      </c>
      <c r="L18" s="24"/>
      <c r="M18" s="24" t="s">
        <v>70</v>
      </c>
      <c r="N18" s="24" t="s">
        <v>70</v>
      </c>
      <c r="O18" s="24" t="s">
        <v>70</v>
      </c>
      <c r="P18" s="24" t="s">
        <v>70</v>
      </c>
      <c r="Q18" s="24" t="s">
        <v>70</v>
      </c>
      <c r="R18" s="24" t="s">
        <v>70</v>
      </c>
      <c r="S18" s="24"/>
      <c r="T18" s="24" t="s">
        <v>70</v>
      </c>
      <c r="U18" s="24" t="s">
        <v>70</v>
      </c>
      <c r="V18" s="24" t="s">
        <v>70</v>
      </c>
      <c r="W18" s="24" t="s">
        <v>70</v>
      </c>
      <c r="X18" s="24" t="s">
        <v>70</v>
      </c>
      <c r="Y18" s="24" t="s">
        <v>70</v>
      </c>
      <c r="Z18" s="24"/>
      <c r="AA18" s="24" t="s">
        <v>70</v>
      </c>
      <c r="AB18" s="24" t="s">
        <v>70</v>
      </c>
      <c r="AC18" s="24" t="s">
        <v>70</v>
      </c>
      <c r="AD18" s="24" t="s">
        <v>70</v>
      </c>
      <c r="AE18" s="24" t="s">
        <v>70</v>
      </c>
      <c r="AF18" s="24" t="s">
        <v>70</v>
      </c>
      <c r="AG18" s="24"/>
      <c r="AH18" s="25"/>
      <c r="AI18" s="24">
        <f t="shared" si="4"/>
        <v>25</v>
      </c>
      <c r="AJ18" s="24">
        <f t="shared" si="2"/>
        <v>25</v>
      </c>
      <c r="AK18" s="26">
        <f t="shared" si="3"/>
        <v>0</v>
      </c>
    </row>
    <row r="19" spans="2:37" ht="24.6" x14ac:dyDescent="0.4">
      <c r="B19" s="30">
        <v>3438</v>
      </c>
      <c r="C19" s="31" t="s">
        <v>15</v>
      </c>
      <c r="D19" s="24" t="s">
        <v>70</v>
      </c>
      <c r="E19" s="24"/>
      <c r="F19" s="24" t="s">
        <v>70</v>
      </c>
      <c r="G19" s="24" t="s">
        <v>70</v>
      </c>
      <c r="H19" s="24" t="s">
        <v>70</v>
      </c>
      <c r="I19" s="24" t="s">
        <v>70</v>
      </c>
      <c r="J19" s="24" t="s">
        <v>70</v>
      </c>
      <c r="K19" s="24" t="s">
        <v>70</v>
      </c>
      <c r="L19" s="24"/>
      <c r="M19" s="24" t="s">
        <v>70</v>
      </c>
      <c r="N19" s="24" t="s">
        <v>70</v>
      </c>
      <c r="O19" s="24" t="s">
        <v>70</v>
      </c>
      <c r="P19" s="24" t="s">
        <v>70</v>
      </c>
      <c r="Q19" s="24" t="s">
        <v>70</v>
      </c>
      <c r="R19" s="24" t="s">
        <v>70</v>
      </c>
      <c r="S19" s="24"/>
      <c r="T19" s="24" t="s">
        <v>70</v>
      </c>
      <c r="U19" s="24" t="s">
        <v>70</v>
      </c>
      <c r="V19" s="24" t="s">
        <v>70</v>
      </c>
      <c r="W19" s="24" t="s">
        <v>70</v>
      </c>
      <c r="X19" s="24" t="s">
        <v>70</v>
      </c>
      <c r="Y19" s="24" t="s">
        <v>70</v>
      </c>
      <c r="Z19" s="24"/>
      <c r="AA19" s="24" t="s">
        <v>70</v>
      </c>
      <c r="AB19" s="24" t="s">
        <v>70</v>
      </c>
      <c r="AC19" s="24" t="s">
        <v>71</v>
      </c>
      <c r="AD19" s="24" t="s">
        <v>70</v>
      </c>
      <c r="AE19" s="24" t="s">
        <v>70</v>
      </c>
      <c r="AF19" s="24" t="s">
        <v>70</v>
      </c>
      <c r="AG19" s="24"/>
      <c r="AH19" s="25"/>
      <c r="AI19" s="24">
        <f t="shared" si="4"/>
        <v>25</v>
      </c>
      <c r="AJ19" s="24">
        <f t="shared" si="2"/>
        <v>24</v>
      </c>
      <c r="AK19" s="26">
        <f t="shared" si="3"/>
        <v>1</v>
      </c>
    </row>
    <row r="20" spans="2:37" ht="24.6" x14ac:dyDescent="0.4">
      <c r="B20" s="30">
        <v>3439</v>
      </c>
      <c r="C20" s="31" t="s">
        <v>16</v>
      </c>
      <c r="D20" s="24" t="s">
        <v>70</v>
      </c>
      <c r="E20" s="24"/>
      <c r="F20" s="24" t="s">
        <v>70</v>
      </c>
      <c r="G20" s="24" t="s">
        <v>70</v>
      </c>
      <c r="H20" s="24" t="s">
        <v>70</v>
      </c>
      <c r="I20" s="24" t="s">
        <v>71</v>
      </c>
      <c r="J20" s="24" t="s">
        <v>70</v>
      </c>
      <c r="K20" s="24" t="s">
        <v>70</v>
      </c>
      <c r="L20" s="24"/>
      <c r="M20" s="24" t="s">
        <v>70</v>
      </c>
      <c r="N20" s="24" t="s">
        <v>70</v>
      </c>
      <c r="O20" s="24" t="s">
        <v>70</v>
      </c>
      <c r="P20" s="24" t="s">
        <v>70</v>
      </c>
      <c r="Q20" s="24" t="s">
        <v>70</v>
      </c>
      <c r="R20" s="24" t="s">
        <v>70</v>
      </c>
      <c r="S20" s="24"/>
      <c r="T20" s="24" t="s">
        <v>70</v>
      </c>
      <c r="U20" s="24" t="s">
        <v>70</v>
      </c>
      <c r="V20" s="24" t="s">
        <v>70</v>
      </c>
      <c r="W20" s="24" t="s">
        <v>70</v>
      </c>
      <c r="X20" s="24" t="s">
        <v>70</v>
      </c>
      <c r="Y20" s="24" t="s">
        <v>70</v>
      </c>
      <c r="Z20" s="24"/>
      <c r="AA20" s="24" t="s">
        <v>70</v>
      </c>
      <c r="AB20" s="24" t="s">
        <v>70</v>
      </c>
      <c r="AC20" s="24" t="s">
        <v>70</v>
      </c>
      <c r="AD20" s="24" t="s">
        <v>70</v>
      </c>
      <c r="AE20" s="24" t="s">
        <v>70</v>
      </c>
      <c r="AF20" s="24" t="s">
        <v>70</v>
      </c>
      <c r="AG20" s="24"/>
      <c r="AH20" s="25"/>
      <c r="AI20" s="24">
        <f t="shared" si="4"/>
        <v>25</v>
      </c>
      <c r="AJ20" s="24">
        <f t="shared" si="2"/>
        <v>24</v>
      </c>
      <c r="AK20" s="26">
        <f t="shared" si="3"/>
        <v>1</v>
      </c>
    </row>
    <row r="21" spans="2:37" ht="24.6" x14ac:dyDescent="0.4">
      <c r="B21" s="30">
        <v>3440</v>
      </c>
      <c r="C21" s="31" t="s">
        <v>17</v>
      </c>
      <c r="D21" s="24" t="s">
        <v>70</v>
      </c>
      <c r="E21" s="24"/>
      <c r="F21" s="24" t="s">
        <v>70</v>
      </c>
      <c r="G21" s="24" t="s">
        <v>70</v>
      </c>
      <c r="H21" s="24" t="s">
        <v>70</v>
      </c>
      <c r="I21" s="24" t="s">
        <v>70</v>
      </c>
      <c r="J21" s="24" t="s">
        <v>70</v>
      </c>
      <c r="K21" s="24" t="s">
        <v>70</v>
      </c>
      <c r="L21" s="24"/>
      <c r="M21" s="24" t="s">
        <v>70</v>
      </c>
      <c r="N21" s="24" t="s">
        <v>70</v>
      </c>
      <c r="O21" s="24" t="s">
        <v>71</v>
      </c>
      <c r="P21" s="24" t="s">
        <v>70</v>
      </c>
      <c r="Q21" s="24" t="s">
        <v>70</v>
      </c>
      <c r="R21" s="24" t="s">
        <v>70</v>
      </c>
      <c r="S21" s="24"/>
      <c r="T21" s="24" t="s">
        <v>70</v>
      </c>
      <c r="U21" s="24" t="s">
        <v>70</v>
      </c>
      <c r="V21" s="24" t="s">
        <v>70</v>
      </c>
      <c r="W21" s="24" t="s">
        <v>70</v>
      </c>
      <c r="X21" s="24" t="s">
        <v>70</v>
      </c>
      <c r="Y21" s="24" t="s">
        <v>70</v>
      </c>
      <c r="Z21" s="24"/>
      <c r="AA21" s="24" t="s">
        <v>70</v>
      </c>
      <c r="AB21" s="24" t="s">
        <v>70</v>
      </c>
      <c r="AC21" s="24" t="s">
        <v>70</v>
      </c>
      <c r="AD21" s="24" t="s">
        <v>70</v>
      </c>
      <c r="AE21" s="24" t="s">
        <v>70</v>
      </c>
      <c r="AF21" s="24" t="s">
        <v>70</v>
      </c>
      <c r="AG21" s="24"/>
      <c r="AH21" s="25"/>
      <c r="AI21" s="24">
        <f t="shared" si="4"/>
        <v>25</v>
      </c>
      <c r="AJ21" s="24">
        <f t="shared" si="2"/>
        <v>24</v>
      </c>
      <c r="AK21" s="26">
        <f t="shared" si="3"/>
        <v>1</v>
      </c>
    </row>
    <row r="22" spans="2:37" ht="24.6" x14ac:dyDescent="0.4">
      <c r="B22" s="30">
        <v>3441</v>
      </c>
      <c r="C22" s="31" t="s">
        <v>18</v>
      </c>
      <c r="D22" s="24" t="s">
        <v>70</v>
      </c>
      <c r="E22" s="24"/>
      <c r="F22" s="24" t="s">
        <v>70</v>
      </c>
      <c r="G22" s="24" t="s">
        <v>70</v>
      </c>
      <c r="H22" s="24" t="s">
        <v>70</v>
      </c>
      <c r="I22" s="24" t="s">
        <v>70</v>
      </c>
      <c r="J22" s="24" t="s">
        <v>70</v>
      </c>
      <c r="K22" s="24" t="s">
        <v>70</v>
      </c>
      <c r="L22" s="24"/>
      <c r="M22" s="24" t="s">
        <v>70</v>
      </c>
      <c r="N22" s="24" t="s">
        <v>70</v>
      </c>
      <c r="O22" s="24" t="s">
        <v>70</v>
      </c>
      <c r="P22" s="24" t="s">
        <v>70</v>
      </c>
      <c r="Q22" s="24" t="s">
        <v>70</v>
      </c>
      <c r="R22" s="24" t="s">
        <v>70</v>
      </c>
      <c r="S22" s="24"/>
      <c r="T22" s="24" t="s">
        <v>70</v>
      </c>
      <c r="U22" s="24" t="s">
        <v>70</v>
      </c>
      <c r="V22" s="24" t="s">
        <v>70</v>
      </c>
      <c r="W22" s="24" t="s">
        <v>70</v>
      </c>
      <c r="X22" s="24" t="s">
        <v>70</v>
      </c>
      <c r="Y22" s="24" t="s">
        <v>70</v>
      </c>
      <c r="Z22" s="24"/>
      <c r="AA22" s="24" t="s">
        <v>70</v>
      </c>
      <c r="AB22" s="24" t="s">
        <v>70</v>
      </c>
      <c r="AC22" s="24" t="s">
        <v>70</v>
      </c>
      <c r="AD22" s="24" t="s">
        <v>70</v>
      </c>
      <c r="AE22" s="24" t="s">
        <v>70</v>
      </c>
      <c r="AF22" s="24" t="s">
        <v>70</v>
      </c>
      <c r="AG22" s="24"/>
      <c r="AH22" s="25"/>
      <c r="AI22" s="24">
        <f t="shared" si="4"/>
        <v>25</v>
      </c>
      <c r="AJ22" s="24">
        <f t="shared" si="2"/>
        <v>25</v>
      </c>
      <c r="AK22" s="26">
        <f t="shared" si="3"/>
        <v>0</v>
      </c>
    </row>
    <row r="23" spans="2:37" ht="24.6" x14ac:dyDescent="0.4">
      <c r="B23" s="30">
        <v>3442</v>
      </c>
      <c r="C23" s="31" t="s">
        <v>19</v>
      </c>
      <c r="D23" s="24" t="s">
        <v>70</v>
      </c>
      <c r="E23" s="24"/>
      <c r="F23" s="24" t="s">
        <v>70</v>
      </c>
      <c r="G23" s="24" t="s">
        <v>70</v>
      </c>
      <c r="H23" s="24" t="s">
        <v>70</v>
      </c>
      <c r="I23" s="24" t="s">
        <v>70</v>
      </c>
      <c r="J23" s="24" t="s">
        <v>70</v>
      </c>
      <c r="K23" s="24" t="s">
        <v>70</v>
      </c>
      <c r="L23" s="24"/>
      <c r="M23" s="24" t="s">
        <v>70</v>
      </c>
      <c r="N23" s="24" t="s">
        <v>70</v>
      </c>
      <c r="O23" s="24" t="s">
        <v>70</v>
      </c>
      <c r="P23" s="24" t="s">
        <v>70</v>
      </c>
      <c r="Q23" s="24" t="s">
        <v>70</v>
      </c>
      <c r="R23" s="24" t="s">
        <v>70</v>
      </c>
      <c r="S23" s="24"/>
      <c r="T23" s="24" t="s">
        <v>71</v>
      </c>
      <c r="U23" s="24" t="s">
        <v>70</v>
      </c>
      <c r="V23" s="24" t="s">
        <v>70</v>
      </c>
      <c r="W23" s="24" t="s">
        <v>70</v>
      </c>
      <c r="X23" s="24" t="s">
        <v>70</v>
      </c>
      <c r="Y23" s="24" t="s">
        <v>70</v>
      </c>
      <c r="Z23" s="24"/>
      <c r="AA23" s="24" t="s">
        <v>70</v>
      </c>
      <c r="AB23" s="24" t="s">
        <v>70</v>
      </c>
      <c r="AC23" s="24" t="s">
        <v>70</v>
      </c>
      <c r="AD23" s="24" t="s">
        <v>70</v>
      </c>
      <c r="AE23" s="24" t="s">
        <v>70</v>
      </c>
      <c r="AF23" s="24" t="s">
        <v>70</v>
      </c>
      <c r="AG23" s="24"/>
      <c r="AH23" s="25"/>
      <c r="AI23" s="24">
        <f t="shared" si="4"/>
        <v>25</v>
      </c>
      <c r="AJ23" s="24">
        <f t="shared" si="2"/>
        <v>24</v>
      </c>
      <c r="AK23" s="26">
        <f t="shared" si="3"/>
        <v>1</v>
      </c>
    </row>
    <row r="24" spans="2:37" ht="24.6" x14ac:dyDescent="0.4">
      <c r="B24" s="30">
        <v>3443</v>
      </c>
      <c r="C24" s="31" t="s">
        <v>20</v>
      </c>
      <c r="D24" s="24" t="s">
        <v>70</v>
      </c>
      <c r="E24" s="24"/>
      <c r="F24" s="24" t="s">
        <v>70</v>
      </c>
      <c r="G24" s="24" t="s">
        <v>70</v>
      </c>
      <c r="H24" s="24" t="s">
        <v>70</v>
      </c>
      <c r="I24" s="24" t="s">
        <v>70</v>
      </c>
      <c r="J24" s="24" t="s">
        <v>70</v>
      </c>
      <c r="K24" s="24" t="s">
        <v>70</v>
      </c>
      <c r="L24" s="24"/>
      <c r="M24" s="24" t="s">
        <v>70</v>
      </c>
      <c r="N24" s="24" t="s">
        <v>70</v>
      </c>
      <c r="O24" s="24" t="s">
        <v>70</v>
      </c>
      <c r="P24" s="24" t="s">
        <v>70</v>
      </c>
      <c r="Q24" s="24" t="s">
        <v>70</v>
      </c>
      <c r="R24" s="24" t="s">
        <v>70</v>
      </c>
      <c r="S24" s="24"/>
      <c r="T24" s="24" t="s">
        <v>70</v>
      </c>
      <c r="U24" s="24" t="s">
        <v>70</v>
      </c>
      <c r="V24" s="24" t="s">
        <v>70</v>
      </c>
      <c r="W24" s="24" t="s">
        <v>70</v>
      </c>
      <c r="X24" s="24" t="s">
        <v>70</v>
      </c>
      <c r="Y24" s="24" t="s">
        <v>70</v>
      </c>
      <c r="Z24" s="24"/>
      <c r="AA24" s="24" t="s">
        <v>70</v>
      </c>
      <c r="AB24" s="24" t="s">
        <v>70</v>
      </c>
      <c r="AC24" s="24" t="s">
        <v>70</v>
      </c>
      <c r="AD24" s="24" t="s">
        <v>70</v>
      </c>
      <c r="AE24" s="24" t="s">
        <v>70</v>
      </c>
      <c r="AF24" s="24" t="s">
        <v>70</v>
      </c>
      <c r="AG24" s="24"/>
      <c r="AH24" s="25"/>
      <c r="AI24" s="24">
        <f t="shared" si="4"/>
        <v>25</v>
      </c>
      <c r="AJ24" s="24">
        <f t="shared" si="2"/>
        <v>25</v>
      </c>
      <c r="AK24" s="26">
        <f t="shared" si="3"/>
        <v>0</v>
      </c>
    </row>
    <row r="25" spans="2:37" ht="24.6" x14ac:dyDescent="0.4">
      <c r="B25" s="30">
        <v>3444</v>
      </c>
      <c r="C25" s="31" t="s">
        <v>21</v>
      </c>
      <c r="D25" s="24" t="s">
        <v>70</v>
      </c>
      <c r="E25" s="24"/>
      <c r="F25" s="24" t="s">
        <v>70</v>
      </c>
      <c r="G25" s="24" t="s">
        <v>70</v>
      </c>
      <c r="H25" s="24" t="s">
        <v>70</v>
      </c>
      <c r="I25" s="24" t="s">
        <v>70</v>
      </c>
      <c r="J25" s="24" t="s">
        <v>70</v>
      </c>
      <c r="K25" s="24" t="s">
        <v>70</v>
      </c>
      <c r="L25" s="24"/>
      <c r="M25" s="24" t="s">
        <v>70</v>
      </c>
      <c r="N25" s="24" t="s">
        <v>71</v>
      </c>
      <c r="O25" s="24" t="s">
        <v>70</v>
      </c>
      <c r="P25" s="24" t="s">
        <v>70</v>
      </c>
      <c r="Q25" s="24" t="s">
        <v>70</v>
      </c>
      <c r="R25" s="24" t="s">
        <v>70</v>
      </c>
      <c r="S25" s="24"/>
      <c r="T25" s="24" t="s">
        <v>70</v>
      </c>
      <c r="U25" s="24" t="s">
        <v>70</v>
      </c>
      <c r="V25" s="24" t="s">
        <v>70</v>
      </c>
      <c r="W25" s="24" t="s">
        <v>70</v>
      </c>
      <c r="X25" s="24" t="s">
        <v>71</v>
      </c>
      <c r="Y25" s="24" t="s">
        <v>70</v>
      </c>
      <c r="Z25" s="24"/>
      <c r="AA25" s="24" t="s">
        <v>70</v>
      </c>
      <c r="AB25" s="24" t="s">
        <v>70</v>
      </c>
      <c r="AC25" s="24" t="s">
        <v>70</v>
      </c>
      <c r="AD25" s="24" t="s">
        <v>70</v>
      </c>
      <c r="AE25" s="24" t="s">
        <v>70</v>
      </c>
      <c r="AF25" s="24" t="s">
        <v>70</v>
      </c>
      <c r="AG25" s="24"/>
      <c r="AH25" s="25"/>
      <c r="AI25" s="24">
        <f t="shared" si="4"/>
        <v>25</v>
      </c>
      <c r="AJ25" s="24">
        <f t="shared" si="2"/>
        <v>23</v>
      </c>
      <c r="AK25" s="26">
        <f t="shared" si="3"/>
        <v>2</v>
      </c>
    </row>
    <row r="26" spans="2:37" ht="24.6" x14ac:dyDescent="0.4">
      <c r="B26" s="30">
        <v>3445</v>
      </c>
      <c r="C26" s="31" t="s">
        <v>22</v>
      </c>
      <c r="D26" s="24" t="s">
        <v>70</v>
      </c>
      <c r="E26" s="24"/>
      <c r="F26" s="24" t="s">
        <v>70</v>
      </c>
      <c r="G26" s="24" t="s">
        <v>70</v>
      </c>
      <c r="H26" s="24" t="s">
        <v>70</v>
      </c>
      <c r="I26" s="24" t="s">
        <v>70</v>
      </c>
      <c r="J26" s="24" t="s">
        <v>70</v>
      </c>
      <c r="K26" s="24" t="s">
        <v>70</v>
      </c>
      <c r="L26" s="24"/>
      <c r="M26" s="24" t="s">
        <v>70</v>
      </c>
      <c r="N26" s="24" t="s">
        <v>70</v>
      </c>
      <c r="O26" s="24" t="s">
        <v>70</v>
      </c>
      <c r="P26" s="24" t="s">
        <v>70</v>
      </c>
      <c r="Q26" s="24" t="s">
        <v>70</v>
      </c>
      <c r="R26" s="24" t="s">
        <v>70</v>
      </c>
      <c r="S26" s="24"/>
      <c r="T26" s="24" t="s">
        <v>70</v>
      </c>
      <c r="U26" s="24" t="s">
        <v>70</v>
      </c>
      <c r="V26" s="24" t="s">
        <v>70</v>
      </c>
      <c r="W26" s="24" t="s">
        <v>70</v>
      </c>
      <c r="X26" s="24" t="s">
        <v>70</v>
      </c>
      <c r="Y26" s="24" t="s">
        <v>70</v>
      </c>
      <c r="Z26" s="24"/>
      <c r="AA26" s="24" t="s">
        <v>70</v>
      </c>
      <c r="AB26" s="24" t="s">
        <v>70</v>
      </c>
      <c r="AC26" s="24" t="s">
        <v>70</v>
      </c>
      <c r="AD26" s="24" t="s">
        <v>70</v>
      </c>
      <c r="AE26" s="24" t="s">
        <v>70</v>
      </c>
      <c r="AF26" s="24" t="s">
        <v>70</v>
      </c>
      <c r="AG26" s="24"/>
      <c r="AH26" s="25"/>
      <c r="AI26" s="24">
        <f t="shared" si="4"/>
        <v>25</v>
      </c>
      <c r="AJ26" s="24">
        <f t="shared" si="2"/>
        <v>25</v>
      </c>
      <c r="AK26" s="26">
        <f t="shared" si="3"/>
        <v>0</v>
      </c>
    </row>
    <row r="27" spans="2:37" ht="24.6" x14ac:dyDescent="0.4">
      <c r="B27" s="30">
        <v>3446</v>
      </c>
      <c r="C27" s="31" t="s">
        <v>23</v>
      </c>
      <c r="D27" s="24" t="s">
        <v>70</v>
      </c>
      <c r="E27" s="24"/>
      <c r="F27" s="24" t="s">
        <v>70</v>
      </c>
      <c r="G27" s="24" t="s">
        <v>70</v>
      </c>
      <c r="H27" s="24" t="s">
        <v>70</v>
      </c>
      <c r="I27" s="24" t="s">
        <v>70</v>
      </c>
      <c r="J27" s="24" t="s">
        <v>70</v>
      </c>
      <c r="K27" s="24" t="s">
        <v>70</v>
      </c>
      <c r="L27" s="24"/>
      <c r="M27" s="24" t="s">
        <v>70</v>
      </c>
      <c r="N27" s="24" t="s">
        <v>70</v>
      </c>
      <c r="O27" s="24" t="s">
        <v>70</v>
      </c>
      <c r="P27" s="24" t="s">
        <v>70</v>
      </c>
      <c r="Q27" s="24" t="s">
        <v>70</v>
      </c>
      <c r="R27" s="24" t="s">
        <v>70</v>
      </c>
      <c r="S27" s="24"/>
      <c r="T27" s="24" t="s">
        <v>70</v>
      </c>
      <c r="U27" s="24" t="s">
        <v>70</v>
      </c>
      <c r="V27" s="24" t="s">
        <v>70</v>
      </c>
      <c r="W27" s="24" t="s">
        <v>70</v>
      </c>
      <c r="X27" s="24" t="s">
        <v>70</v>
      </c>
      <c r="Y27" s="24" t="s">
        <v>70</v>
      </c>
      <c r="Z27" s="24"/>
      <c r="AA27" s="24" t="s">
        <v>70</v>
      </c>
      <c r="AB27" s="24" t="s">
        <v>70</v>
      </c>
      <c r="AC27" s="24" t="s">
        <v>70</v>
      </c>
      <c r="AD27" s="24" t="s">
        <v>70</v>
      </c>
      <c r="AE27" s="24" t="s">
        <v>70</v>
      </c>
      <c r="AF27" s="24" t="s">
        <v>70</v>
      </c>
      <c r="AG27" s="24"/>
      <c r="AH27" s="25"/>
      <c r="AI27" s="24">
        <f t="shared" si="4"/>
        <v>25</v>
      </c>
      <c r="AJ27" s="24">
        <f t="shared" si="2"/>
        <v>25</v>
      </c>
      <c r="AK27" s="26">
        <f t="shared" si="3"/>
        <v>0</v>
      </c>
    </row>
  </sheetData>
  <mergeCells count="7">
    <mergeCell ref="B2:C2"/>
    <mergeCell ref="D2:AL5"/>
    <mergeCell ref="B6:B7"/>
    <mergeCell ref="C6:C7"/>
    <mergeCell ref="AI6:AI7"/>
    <mergeCell ref="AJ6:AJ7"/>
    <mergeCell ref="AK6:AK7"/>
  </mergeCells>
  <conditionalFormatting sqref="D8:AG27">
    <cfRule type="containsText" dxfId="45" priority="1" operator="containsText" text="A">
      <formula>NOT(ISERROR(SEARCH("A",D8)))</formula>
    </cfRule>
    <cfRule type="expression" dxfId="44" priority="5">
      <formula>D$6="Sun"</formula>
    </cfRule>
    <cfRule type="expression" dxfId="43" priority="6">
      <formula>D$6="Sun"</formula>
    </cfRule>
  </conditionalFormatting>
  <conditionalFormatting sqref="D6:AK7">
    <cfRule type="notContainsBlanks" dxfId="42" priority="2">
      <formula>LEN(TRIM(D6))&gt;0</formula>
    </cfRule>
    <cfRule type="notContainsBlanks" dxfId="41" priority="3">
      <formula>LEN(TRIM(D6))&gt;0</formula>
    </cfRule>
  </conditionalFormatting>
  <conditionalFormatting sqref="D6:AK27">
    <cfRule type="expression" dxfId="40" priority="4">
      <formula>D$6&lt;&gt;""</formula>
    </cfRule>
  </conditionalFormatting>
  <dataValidations count="4">
    <dataValidation type="custom" allowBlank="1" showInputMessage="1" showErrorMessage="1" errorTitle="Info" error="Week Off" sqref="AH6:AK27" xr:uid="{00000000-0002-0000-0A00-000000000000}">
      <formula1>AH$6&lt;&gt;""</formula1>
    </dataValidation>
    <dataValidation type="list" allowBlank="1" showInputMessage="1" showErrorMessage="1" sqref="C4" xr:uid="{00000000-0002-0000-0A00-000001000000}">
      <formula1>"2024"</formula1>
    </dataValidation>
    <dataValidation type="list" allowBlank="1" showInputMessage="1" showErrorMessage="1" sqref="C3" xr:uid="{00000000-0002-0000-0A00-000002000000}">
      <formula1>"JANUARY,FEBRUARY,MARCH,APRIL,MAY,JUNE,JULY,AUGUST,SEPTEMBER,NOVEMBER,DECEMBER"</formula1>
    </dataValidation>
    <dataValidation type="custom" allowBlank="1" showInputMessage="1" showErrorMessage="1" errorTitle="Info" error="Week Off" sqref="D6:AG27" xr:uid="{00000000-0002-0000-0A00-000003000000}">
      <formula1>D$6&lt;&gt;"Sun"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L27"/>
  <sheetViews>
    <sheetView showGridLines="0" zoomScale="40" zoomScaleNormal="40" workbookViewId="0">
      <selection activeCell="AQ11" sqref="AQ11"/>
    </sheetView>
  </sheetViews>
  <sheetFormatPr defaultRowHeight="14.4" x14ac:dyDescent="0.3"/>
  <cols>
    <col min="1" max="1" width="27" customWidth="1"/>
    <col min="2" max="2" width="27.6640625" bestFit="1" customWidth="1"/>
    <col min="3" max="3" width="23.44140625" bestFit="1" customWidth="1"/>
    <col min="4" max="34" width="10.109375" bestFit="1" customWidth="1"/>
    <col min="36" max="36" width="39.5546875" customWidth="1"/>
    <col min="37" max="37" width="19.44140625" customWidth="1"/>
    <col min="38" max="38" width="17" customWidth="1"/>
    <col min="39" max="39" width="7.33203125" customWidth="1"/>
  </cols>
  <sheetData>
    <row r="1" spans="1:38" ht="120.75" customHeight="1" thickBot="1" x14ac:dyDescent="0.35"/>
    <row r="2" spans="1:38" ht="55.2" x14ac:dyDescent="1.3">
      <c r="A2" s="195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5.8" x14ac:dyDescent="0.5">
      <c r="B3" s="41" t="s">
        <v>64</v>
      </c>
      <c r="C3" s="42" t="s">
        <v>77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5.8" x14ac:dyDescent="0.5">
      <c r="B4" s="41" t="s">
        <v>65</v>
      </c>
      <c r="C4" s="4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24" thickBot="1" x14ac:dyDescent="0.5">
      <c r="B5" s="43">
        <f>DATEVALUE("1"&amp;C3&amp;C4)</f>
        <v>45474</v>
      </c>
      <c r="C5" s="44">
        <f>EOMONTH(B5,0)</f>
        <v>45504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66.75" customHeight="1" x14ac:dyDescent="0.4">
      <c r="B6" s="306" t="s">
        <v>2</v>
      </c>
      <c r="C6" s="307" t="s">
        <v>3</v>
      </c>
      <c r="D6" s="39" t="str">
        <f>TEXT(D7,"DDD")</f>
        <v>Mon</v>
      </c>
      <c r="E6" s="39" t="str">
        <f t="shared" ref="E6:AH6" si="0">TEXT(E7,"DDD")</f>
        <v>Tue</v>
      </c>
      <c r="F6" s="39" t="str">
        <f t="shared" si="0"/>
        <v>Wed</v>
      </c>
      <c r="G6" s="39" t="str">
        <f t="shared" si="0"/>
        <v>Thu</v>
      </c>
      <c r="H6" s="39" t="str">
        <f t="shared" si="0"/>
        <v>Fri</v>
      </c>
      <c r="I6" s="39" t="str">
        <f t="shared" si="0"/>
        <v>Sat</v>
      </c>
      <c r="J6" s="39" t="str">
        <f t="shared" si="0"/>
        <v>Sun</v>
      </c>
      <c r="K6" s="39" t="str">
        <f t="shared" si="0"/>
        <v>Mon</v>
      </c>
      <c r="L6" s="39" t="str">
        <f t="shared" si="0"/>
        <v>Tue</v>
      </c>
      <c r="M6" s="39" t="str">
        <f t="shared" si="0"/>
        <v>Wed</v>
      </c>
      <c r="N6" s="39" t="str">
        <f t="shared" si="0"/>
        <v>Thu</v>
      </c>
      <c r="O6" s="39" t="str">
        <f t="shared" si="0"/>
        <v>Fri</v>
      </c>
      <c r="P6" s="39" t="str">
        <f t="shared" si="0"/>
        <v>Sat</v>
      </c>
      <c r="Q6" s="39" t="str">
        <f t="shared" si="0"/>
        <v>Sun</v>
      </c>
      <c r="R6" s="39" t="str">
        <f t="shared" si="0"/>
        <v>Mon</v>
      </c>
      <c r="S6" s="39" t="str">
        <f t="shared" si="0"/>
        <v>Tue</v>
      </c>
      <c r="T6" s="39" t="str">
        <f t="shared" si="0"/>
        <v>Wed</v>
      </c>
      <c r="U6" s="39" t="str">
        <f t="shared" si="0"/>
        <v>Thu</v>
      </c>
      <c r="V6" s="39" t="str">
        <f t="shared" si="0"/>
        <v>Fri</v>
      </c>
      <c r="W6" s="39" t="str">
        <f t="shared" si="0"/>
        <v>Sat</v>
      </c>
      <c r="X6" s="39" t="str">
        <f t="shared" si="0"/>
        <v>Sun</v>
      </c>
      <c r="Y6" s="39" t="str">
        <f t="shared" si="0"/>
        <v>Mon</v>
      </c>
      <c r="Z6" s="39" t="str">
        <f t="shared" si="0"/>
        <v>Tue</v>
      </c>
      <c r="AA6" s="39" t="str">
        <f t="shared" si="0"/>
        <v>Wed</v>
      </c>
      <c r="AB6" s="39" t="str">
        <f t="shared" si="0"/>
        <v>Thu</v>
      </c>
      <c r="AC6" s="39" t="str">
        <f t="shared" si="0"/>
        <v>Fri</v>
      </c>
      <c r="AD6" s="39" t="str">
        <f t="shared" si="0"/>
        <v>Sat</v>
      </c>
      <c r="AE6" s="39" t="str">
        <f t="shared" si="0"/>
        <v>Sun</v>
      </c>
      <c r="AF6" s="39" t="str">
        <f t="shared" si="0"/>
        <v>Mon</v>
      </c>
      <c r="AG6" s="39" t="str">
        <f t="shared" si="0"/>
        <v>Tue</v>
      </c>
      <c r="AH6" s="39" t="str">
        <f t="shared" si="0"/>
        <v>Wed</v>
      </c>
      <c r="AI6" s="25"/>
      <c r="AJ6" s="308" t="s">
        <v>69</v>
      </c>
      <c r="AK6" s="308" t="s">
        <v>70</v>
      </c>
      <c r="AL6" s="309" t="s">
        <v>71</v>
      </c>
    </row>
    <row r="7" spans="1:38" ht="32.25" customHeight="1" x14ac:dyDescent="0.4">
      <c r="B7" s="285"/>
      <c r="C7" s="286"/>
      <c r="D7" s="40">
        <f>B5</f>
        <v>45474</v>
      </c>
      <c r="E7" s="40">
        <f>IFERROR(IF(D7+1&gt;$C$5,"",D7+1),"")</f>
        <v>45475</v>
      </c>
      <c r="F7" s="40">
        <f t="shared" ref="F7:AG7" si="1">IFERROR(IF(E7+1&gt;$C$5,"",E7+1),"")</f>
        <v>45476</v>
      </c>
      <c r="G7" s="40">
        <f t="shared" si="1"/>
        <v>45477</v>
      </c>
      <c r="H7" s="40">
        <f t="shared" si="1"/>
        <v>45478</v>
      </c>
      <c r="I7" s="40">
        <f t="shared" si="1"/>
        <v>45479</v>
      </c>
      <c r="J7" s="40">
        <f t="shared" si="1"/>
        <v>45480</v>
      </c>
      <c r="K7" s="40">
        <f t="shared" si="1"/>
        <v>45481</v>
      </c>
      <c r="L7" s="40">
        <f t="shared" si="1"/>
        <v>45482</v>
      </c>
      <c r="M7" s="40">
        <f t="shared" si="1"/>
        <v>45483</v>
      </c>
      <c r="N7" s="40">
        <f t="shared" si="1"/>
        <v>45484</v>
      </c>
      <c r="O7" s="40">
        <f t="shared" si="1"/>
        <v>45485</v>
      </c>
      <c r="P7" s="40">
        <f t="shared" si="1"/>
        <v>45486</v>
      </c>
      <c r="Q7" s="40">
        <f t="shared" si="1"/>
        <v>45487</v>
      </c>
      <c r="R7" s="40">
        <f t="shared" si="1"/>
        <v>45488</v>
      </c>
      <c r="S7" s="40">
        <f>IFERROR(IF(R7+1&gt;$C$5,"",R7+1),"")</f>
        <v>45489</v>
      </c>
      <c r="T7" s="40">
        <f t="shared" si="1"/>
        <v>45490</v>
      </c>
      <c r="U7" s="40">
        <f t="shared" si="1"/>
        <v>45491</v>
      </c>
      <c r="V7" s="40">
        <f t="shared" si="1"/>
        <v>45492</v>
      </c>
      <c r="W7" s="40">
        <f t="shared" si="1"/>
        <v>45493</v>
      </c>
      <c r="X7" s="40">
        <f t="shared" si="1"/>
        <v>45494</v>
      </c>
      <c r="Y7" s="40">
        <f t="shared" si="1"/>
        <v>45495</v>
      </c>
      <c r="Z7" s="40">
        <f>IFERROR(IF(Y7+1&gt;$C$5,"",Y7+1),"")</f>
        <v>45496</v>
      </c>
      <c r="AA7" s="40">
        <f t="shared" si="1"/>
        <v>45497</v>
      </c>
      <c r="AB7" s="40">
        <f t="shared" si="1"/>
        <v>45498</v>
      </c>
      <c r="AC7" s="40">
        <f t="shared" si="1"/>
        <v>45499</v>
      </c>
      <c r="AD7" s="40">
        <f t="shared" si="1"/>
        <v>45500</v>
      </c>
      <c r="AE7" s="40">
        <f t="shared" si="1"/>
        <v>45501</v>
      </c>
      <c r="AF7" s="40">
        <f t="shared" si="1"/>
        <v>45502</v>
      </c>
      <c r="AG7" s="40">
        <f t="shared" si="1"/>
        <v>45503</v>
      </c>
      <c r="AH7" s="40">
        <f>IFERROR(IF(AG7+1&gt;$C$5,"",AG7+1),"")</f>
        <v>45504</v>
      </c>
      <c r="AI7" s="25"/>
      <c r="AJ7" s="308"/>
      <c r="AK7" s="308"/>
      <c r="AL7" s="309"/>
    </row>
    <row r="8" spans="1:38" ht="30" x14ac:dyDescent="0.5">
      <c r="B8" s="37">
        <v>3427</v>
      </c>
      <c r="C8" s="38" t="s">
        <v>4</v>
      </c>
      <c r="D8" s="24" t="s">
        <v>70</v>
      </c>
      <c r="E8" s="24" t="s">
        <v>70</v>
      </c>
      <c r="F8" s="24" t="s">
        <v>70</v>
      </c>
      <c r="G8" s="24" t="s">
        <v>70</v>
      </c>
      <c r="H8" s="24" t="s">
        <v>70</v>
      </c>
      <c r="I8" s="24" t="s">
        <v>70</v>
      </c>
      <c r="J8" s="24"/>
      <c r="K8" s="24" t="s">
        <v>70</v>
      </c>
      <c r="L8" s="24" t="s">
        <v>70</v>
      </c>
      <c r="M8" s="24" t="s">
        <v>70</v>
      </c>
      <c r="N8" s="24" t="s">
        <v>70</v>
      </c>
      <c r="O8" s="24" t="s">
        <v>70</v>
      </c>
      <c r="P8" s="24" t="s">
        <v>70</v>
      </c>
      <c r="Q8" s="24"/>
      <c r="R8" s="24" t="s">
        <v>70</v>
      </c>
      <c r="S8" s="24" t="s">
        <v>70</v>
      </c>
      <c r="T8" s="24" t="s">
        <v>70</v>
      </c>
      <c r="U8" s="24" t="s">
        <v>70</v>
      </c>
      <c r="V8" s="24" t="s">
        <v>70</v>
      </c>
      <c r="W8" s="24" t="s">
        <v>70</v>
      </c>
      <c r="X8" s="24"/>
      <c r="Y8" s="24" t="s">
        <v>70</v>
      </c>
      <c r="Z8" s="24" t="s">
        <v>70</v>
      </c>
      <c r="AA8" s="24" t="s">
        <v>70</v>
      </c>
      <c r="AB8" s="24" t="s">
        <v>70</v>
      </c>
      <c r="AC8" s="24" t="s">
        <v>70</v>
      </c>
      <c r="AD8" s="24" t="s">
        <v>70</v>
      </c>
      <c r="AE8" s="24"/>
      <c r="AF8" s="24" t="s">
        <v>70</v>
      </c>
      <c r="AG8" s="24" t="s">
        <v>70</v>
      </c>
      <c r="AH8" s="24" t="s">
        <v>70</v>
      </c>
      <c r="AI8" s="25"/>
      <c r="AJ8" s="24">
        <f>SUM(AK8,AL8)</f>
        <v>27</v>
      </c>
      <c r="AK8" s="24">
        <f>COUNTIF(D8:AH8,AK$6)</f>
        <v>27</v>
      </c>
      <c r="AL8" s="26">
        <f>COUNTIF(E8:AI8,AL$6)</f>
        <v>0</v>
      </c>
    </row>
    <row r="9" spans="1:38" ht="30" x14ac:dyDescent="0.5">
      <c r="B9" s="37">
        <v>3428</v>
      </c>
      <c r="C9" s="38" t="s">
        <v>5</v>
      </c>
      <c r="D9" s="24" t="s">
        <v>70</v>
      </c>
      <c r="E9" s="24" t="s">
        <v>70</v>
      </c>
      <c r="F9" s="24" t="s">
        <v>70</v>
      </c>
      <c r="G9" s="24" t="s">
        <v>70</v>
      </c>
      <c r="H9" s="24" t="s">
        <v>70</v>
      </c>
      <c r="I9" s="24" t="s">
        <v>70</v>
      </c>
      <c r="J9" s="24"/>
      <c r="K9" s="24" t="s">
        <v>70</v>
      </c>
      <c r="L9" s="24" t="s">
        <v>70</v>
      </c>
      <c r="M9" s="24" t="s">
        <v>70</v>
      </c>
      <c r="N9" s="24" t="s">
        <v>70</v>
      </c>
      <c r="O9" s="24" t="s">
        <v>70</v>
      </c>
      <c r="P9" s="24" t="s">
        <v>70</v>
      </c>
      <c r="Q9" s="24"/>
      <c r="R9" s="24" t="s">
        <v>70</v>
      </c>
      <c r="S9" s="24" t="s">
        <v>70</v>
      </c>
      <c r="T9" s="24" t="s">
        <v>70</v>
      </c>
      <c r="U9" s="24" t="s">
        <v>70</v>
      </c>
      <c r="V9" s="24" t="s">
        <v>70</v>
      </c>
      <c r="W9" s="24" t="s">
        <v>70</v>
      </c>
      <c r="X9" s="24"/>
      <c r="Y9" s="24" t="s">
        <v>70</v>
      </c>
      <c r="Z9" s="24" t="s">
        <v>70</v>
      </c>
      <c r="AA9" s="24" t="s">
        <v>70</v>
      </c>
      <c r="AB9" s="24" t="s">
        <v>70</v>
      </c>
      <c r="AC9" s="24" t="s">
        <v>70</v>
      </c>
      <c r="AD9" s="24" t="s">
        <v>70</v>
      </c>
      <c r="AE9" s="24"/>
      <c r="AF9" s="24" t="s">
        <v>70</v>
      </c>
      <c r="AG9" s="24" t="s">
        <v>70</v>
      </c>
      <c r="AH9" s="24" t="s">
        <v>70</v>
      </c>
      <c r="AI9" s="25"/>
      <c r="AJ9" s="24">
        <f t="shared" ref="AJ9:AJ27" si="2">SUM(AK9,AL9)</f>
        <v>27</v>
      </c>
      <c r="AK9" s="24">
        <f t="shared" ref="AK9:AL27" si="3">COUNTIF(D9:AH9,AK$6)</f>
        <v>27</v>
      </c>
      <c r="AL9" s="26">
        <f t="shared" si="3"/>
        <v>0</v>
      </c>
    </row>
    <row r="10" spans="1:38" ht="30" x14ac:dyDescent="0.5">
      <c r="B10" s="37">
        <v>3429</v>
      </c>
      <c r="C10" s="38" t="s">
        <v>6</v>
      </c>
      <c r="D10" s="24" t="s">
        <v>70</v>
      </c>
      <c r="E10" s="24" t="s">
        <v>70</v>
      </c>
      <c r="F10" s="24" t="s">
        <v>70</v>
      </c>
      <c r="G10" s="24" t="s">
        <v>70</v>
      </c>
      <c r="H10" s="24" t="s">
        <v>70</v>
      </c>
      <c r="I10" s="24" t="s">
        <v>70</v>
      </c>
      <c r="J10" s="24"/>
      <c r="K10" s="24" t="s">
        <v>70</v>
      </c>
      <c r="L10" s="24" t="s">
        <v>70</v>
      </c>
      <c r="M10" s="24" t="s">
        <v>71</v>
      </c>
      <c r="N10" s="24" t="s">
        <v>70</v>
      </c>
      <c r="O10" s="24" t="s">
        <v>70</v>
      </c>
      <c r="P10" s="24" t="s">
        <v>70</v>
      </c>
      <c r="Q10" s="24"/>
      <c r="R10" s="24" t="s">
        <v>70</v>
      </c>
      <c r="S10" s="24" t="s">
        <v>70</v>
      </c>
      <c r="T10" s="24" t="s">
        <v>70</v>
      </c>
      <c r="U10" s="24" t="s">
        <v>71</v>
      </c>
      <c r="V10" s="24" t="s">
        <v>70</v>
      </c>
      <c r="W10" s="24" t="s">
        <v>70</v>
      </c>
      <c r="X10" s="24"/>
      <c r="Y10" s="24" t="s">
        <v>70</v>
      </c>
      <c r="Z10" s="24" t="s">
        <v>70</v>
      </c>
      <c r="AA10" s="24" t="s">
        <v>71</v>
      </c>
      <c r="AB10" s="24" t="s">
        <v>70</v>
      </c>
      <c r="AC10" s="24" t="s">
        <v>70</v>
      </c>
      <c r="AD10" s="24" t="s">
        <v>70</v>
      </c>
      <c r="AE10" s="24"/>
      <c r="AF10" s="24" t="s">
        <v>70</v>
      </c>
      <c r="AG10" s="24" t="s">
        <v>70</v>
      </c>
      <c r="AH10" s="24" t="s">
        <v>70</v>
      </c>
      <c r="AI10" s="25"/>
      <c r="AJ10" s="24">
        <f t="shared" si="2"/>
        <v>27</v>
      </c>
      <c r="AK10" s="24">
        <f t="shared" si="3"/>
        <v>24</v>
      </c>
      <c r="AL10" s="26">
        <f t="shared" si="3"/>
        <v>3</v>
      </c>
    </row>
    <row r="11" spans="1:38" ht="30" x14ac:dyDescent="0.5">
      <c r="B11" s="37">
        <v>3430</v>
      </c>
      <c r="C11" s="38" t="s">
        <v>7</v>
      </c>
      <c r="D11" s="24" t="s">
        <v>70</v>
      </c>
      <c r="E11" s="24" t="s">
        <v>70</v>
      </c>
      <c r="F11" s="24" t="s">
        <v>70</v>
      </c>
      <c r="G11" s="24" t="s">
        <v>70</v>
      </c>
      <c r="H11" s="24" t="s">
        <v>70</v>
      </c>
      <c r="I11" s="24" t="s">
        <v>70</v>
      </c>
      <c r="J11" s="24"/>
      <c r="K11" s="24" t="s">
        <v>70</v>
      </c>
      <c r="L11" s="24" t="s">
        <v>70</v>
      </c>
      <c r="M11" s="24" t="s">
        <v>70</v>
      </c>
      <c r="N11" s="24" t="s">
        <v>70</v>
      </c>
      <c r="O11" s="24" t="s">
        <v>70</v>
      </c>
      <c r="P11" s="24" t="s">
        <v>70</v>
      </c>
      <c r="Q11" s="24"/>
      <c r="R11" s="24" t="s">
        <v>70</v>
      </c>
      <c r="S11" s="24" t="s">
        <v>70</v>
      </c>
      <c r="T11" s="24" t="s">
        <v>70</v>
      </c>
      <c r="U11" s="24" t="s">
        <v>70</v>
      </c>
      <c r="V11" s="24" t="s">
        <v>70</v>
      </c>
      <c r="W11" s="24" t="s">
        <v>70</v>
      </c>
      <c r="X11" s="24"/>
      <c r="Y11" s="24" t="s">
        <v>70</v>
      </c>
      <c r="Z11" s="24" t="s">
        <v>70</v>
      </c>
      <c r="AA11" s="24" t="s">
        <v>70</v>
      </c>
      <c r="AB11" s="24" t="s">
        <v>70</v>
      </c>
      <c r="AC11" s="24" t="s">
        <v>70</v>
      </c>
      <c r="AD11" s="24" t="s">
        <v>70</v>
      </c>
      <c r="AE11" s="24"/>
      <c r="AF11" s="24" t="s">
        <v>70</v>
      </c>
      <c r="AG11" s="24" t="s">
        <v>71</v>
      </c>
      <c r="AH11" s="24" t="s">
        <v>70</v>
      </c>
      <c r="AI11" s="25"/>
      <c r="AJ11" s="24">
        <f t="shared" si="2"/>
        <v>27</v>
      </c>
      <c r="AK11" s="24">
        <f t="shared" si="3"/>
        <v>26</v>
      </c>
      <c r="AL11" s="26">
        <f t="shared" si="3"/>
        <v>1</v>
      </c>
    </row>
    <row r="12" spans="1:38" ht="30" x14ac:dyDescent="0.5">
      <c r="B12" s="37">
        <v>3431</v>
      </c>
      <c r="C12" s="38" t="s">
        <v>8</v>
      </c>
      <c r="D12" s="24" t="s">
        <v>70</v>
      </c>
      <c r="E12" s="24" t="s">
        <v>70</v>
      </c>
      <c r="F12" s="24" t="s">
        <v>70</v>
      </c>
      <c r="G12" s="24" t="s">
        <v>70</v>
      </c>
      <c r="H12" s="24" t="s">
        <v>70</v>
      </c>
      <c r="I12" s="24" t="s">
        <v>70</v>
      </c>
      <c r="J12" s="24"/>
      <c r="K12" s="24" t="s">
        <v>70</v>
      </c>
      <c r="L12" s="24" t="s">
        <v>70</v>
      </c>
      <c r="M12" s="24" t="s">
        <v>70</v>
      </c>
      <c r="N12" s="24" t="s">
        <v>70</v>
      </c>
      <c r="O12" s="24" t="s">
        <v>70</v>
      </c>
      <c r="P12" s="24" t="s">
        <v>70</v>
      </c>
      <c r="Q12" s="24"/>
      <c r="R12" s="24" t="s">
        <v>70</v>
      </c>
      <c r="S12" s="24" t="s">
        <v>70</v>
      </c>
      <c r="T12" s="24" t="s">
        <v>70</v>
      </c>
      <c r="U12" s="24" t="s">
        <v>70</v>
      </c>
      <c r="V12" s="24" t="s">
        <v>70</v>
      </c>
      <c r="W12" s="24" t="s">
        <v>70</v>
      </c>
      <c r="X12" s="24"/>
      <c r="Y12" s="24" t="s">
        <v>70</v>
      </c>
      <c r="Z12" s="24" t="s">
        <v>70</v>
      </c>
      <c r="AA12" s="24" t="s">
        <v>70</v>
      </c>
      <c r="AB12" s="24" t="s">
        <v>70</v>
      </c>
      <c r="AC12" s="24" t="s">
        <v>70</v>
      </c>
      <c r="AD12" s="24" t="s">
        <v>70</v>
      </c>
      <c r="AE12" s="24"/>
      <c r="AF12" s="24" t="s">
        <v>70</v>
      </c>
      <c r="AG12" s="24" t="s">
        <v>70</v>
      </c>
      <c r="AH12" s="24" t="s">
        <v>70</v>
      </c>
      <c r="AI12" s="25"/>
      <c r="AJ12" s="24">
        <f t="shared" si="2"/>
        <v>27</v>
      </c>
      <c r="AK12" s="24">
        <f t="shared" si="3"/>
        <v>27</v>
      </c>
      <c r="AL12" s="26">
        <f t="shared" si="3"/>
        <v>0</v>
      </c>
    </row>
    <row r="13" spans="1:38" ht="30" x14ac:dyDescent="0.5">
      <c r="B13" s="37">
        <v>3432</v>
      </c>
      <c r="C13" s="38" t="s">
        <v>9</v>
      </c>
      <c r="D13" s="24" t="s">
        <v>70</v>
      </c>
      <c r="E13" s="24" t="s">
        <v>70</v>
      </c>
      <c r="F13" s="24" t="s">
        <v>70</v>
      </c>
      <c r="G13" s="24" t="s">
        <v>70</v>
      </c>
      <c r="H13" s="24" t="s">
        <v>71</v>
      </c>
      <c r="I13" s="24" t="s">
        <v>70</v>
      </c>
      <c r="J13" s="24"/>
      <c r="K13" s="24" t="s">
        <v>70</v>
      </c>
      <c r="L13" s="24" t="s">
        <v>70</v>
      </c>
      <c r="M13" s="24" t="s">
        <v>70</v>
      </c>
      <c r="N13" s="24" t="s">
        <v>70</v>
      </c>
      <c r="O13" s="24" t="s">
        <v>70</v>
      </c>
      <c r="P13" s="24" t="s">
        <v>70</v>
      </c>
      <c r="Q13" s="24"/>
      <c r="R13" s="24" t="s">
        <v>70</v>
      </c>
      <c r="S13" s="24" t="s">
        <v>70</v>
      </c>
      <c r="T13" s="24" t="s">
        <v>70</v>
      </c>
      <c r="U13" s="24" t="s">
        <v>70</v>
      </c>
      <c r="V13" s="24" t="s">
        <v>70</v>
      </c>
      <c r="W13" s="24" t="s">
        <v>70</v>
      </c>
      <c r="X13" s="24"/>
      <c r="Y13" s="24" t="s">
        <v>70</v>
      </c>
      <c r="Z13" s="24" t="s">
        <v>70</v>
      </c>
      <c r="AA13" s="24" t="s">
        <v>70</v>
      </c>
      <c r="AB13" s="24" t="s">
        <v>70</v>
      </c>
      <c r="AC13" s="24" t="s">
        <v>70</v>
      </c>
      <c r="AD13" s="24" t="s">
        <v>70</v>
      </c>
      <c r="AE13" s="24"/>
      <c r="AF13" s="24" t="s">
        <v>70</v>
      </c>
      <c r="AG13" s="24" t="s">
        <v>70</v>
      </c>
      <c r="AH13" s="24" t="s">
        <v>70</v>
      </c>
      <c r="AI13" s="25"/>
      <c r="AJ13" s="24">
        <f t="shared" si="2"/>
        <v>27</v>
      </c>
      <c r="AK13" s="24">
        <f t="shared" si="3"/>
        <v>26</v>
      </c>
      <c r="AL13" s="26">
        <f t="shared" si="3"/>
        <v>1</v>
      </c>
    </row>
    <row r="14" spans="1:38" ht="30" x14ac:dyDescent="0.5">
      <c r="B14" s="37">
        <v>3433</v>
      </c>
      <c r="C14" s="38" t="s">
        <v>10</v>
      </c>
      <c r="D14" s="24" t="s">
        <v>70</v>
      </c>
      <c r="E14" s="24" t="s">
        <v>70</v>
      </c>
      <c r="F14" s="24" t="s">
        <v>70</v>
      </c>
      <c r="G14" s="24" t="s">
        <v>70</v>
      </c>
      <c r="H14" s="24" t="s">
        <v>70</v>
      </c>
      <c r="I14" s="24" t="s">
        <v>70</v>
      </c>
      <c r="J14" s="24"/>
      <c r="K14" s="24" t="s">
        <v>70</v>
      </c>
      <c r="L14" s="24" t="s">
        <v>70</v>
      </c>
      <c r="M14" s="24" t="s">
        <v>70</v>
      </c>
      <c r="N14" s="24" t="s">
        <v>70</v>
      </c>
      <c r="O14" s="24" t="s">
        <v>70</v>
      </c>
      <c r="P14" s="24" t="s">
        <v>70</v>
      </c>
      <c r="Q14" s="24"/>
      <c r="R14" s="24" t="s">
        <v>70</v>
      </c>
      <c r="S14" s="24" t="s">
        <v>71</v>
      </c>
      <c r="T14" s="24" t="s">
        <v>70</v>
      </c>
      <c r="U14" s="24" t="s">
        <v>70</v>
      </c>
      <c r="V14" s="24" t="s">
        <v>70</v>
      </c>
      <c r="W14" s="24" t="s">
        <v>70</v>
      </c>
      <c r="X14" s="24"/>
      <c r="Y14" s="24" t="s">
        <v>70</v>
      </c>
      <c r="Z14" s="24" t="s">
        <v>70</v>
      </c>
      <c r="AA14" s="24" t="s">
        <v>70</v>
      </c>
      <c r="AB14" s="24" t="s">
        <v>70</v>
      </c>
      <c r="AC14" s="24" t="s">
        <v>70</v>
      </c>
      <c r="AD14" s="24" t="s">
        <v>70</v>
      </c>
      <c r="AE14" s="24"/>
      <c r="AF14" s="24" t="s">
        <v>70</v>
      </c>
      <c r="AG14" s="24" t="s">
        <v>70</v>
      </c>
      <c r="AH14" s="24" t="s">
        <v>70</v>
      </c>
      <c r="AI14" s="25"/>
      <c r="AJ14" s="24">
        <f t="shared" si="2"/>
        <v>27</v>
      </c>
      <c r="AK14" s="24">
        <f t="shared" si="3"/>
        <v>26</v>
      </c>
      <c r="AL14" s="26">
        <f t="shared" si="3"/>
        <v>1</v>
      </c>
    </row>
    <row r="15" spans="1:38" ht="30" x14ac:dyDescent="0.5">
      <c r="B15" s="37">
        <v>3434</v>
      </c>
      <c r="C15" s="38" t="s">
        <v>11</v>
      </c>
      <c r="D15" s="24" t="s">
        <v>70</v>
      </c>
      <c r="E15" s="24" t="s">
        <v>70</v>
      </c>
      <c r="F15" s="24" t="s">
        <v>70</v>
      </c>
      <c r="G15" s="24" t="s">
        <v>70</v>
      </c>
      <c r="H15" s="24" t="s">
        <v>70</v>
      </c>
      <c r="I15" s="24" t="s">
        <v>70</v>
      </c>
      <c r="J15" s="24"/>
      <c r="K15" s="24" t="s">
        <v>70</v>
      </c>
      <c r="L15" s="24" t="s">
        <v>70</v>
      </c>
      <c r="M15" s="24" t="s">
        <v>70</v>
      </c>
      <c r="N15" s="24" t="s">
        <v>70</v>
      </c>
      <c r="O15" s="24" t="s">
        <v>70</v>
      </c>
      <c r="P15" s="24" t="s">
        <v>70</v>
      </c>
      <c r="Q15" s="24"/>
      <c r="R15" s="24" t="s">
        <v>70</v>
      </c>
      <c r="S15" s="24" t="s">
        <v>70</v>
      </c>
      <c r="T15" s="24" t="s">
        <v>70</v>
      </c>
      <c r="U15" s="24" t="s">
        <v>70</v>
      </c>
      <c r="V15" s="24" t="s">
        <v>70</v>
      </c>
      <c r="W15" s="24" t="s">
        <v>70</v>
      </c>
      <c r="X15" s="24"/>
      <c r="Y15" s="24" t="s">
        <v>70</v>
      </c>
      <c r="Z15" s="24" t="s">
        <v>70</v>
      </c>
      <c r="AA15" s="24" t="s">
        <v>70</v>
      </c>
      <c r="AB15" s="24" t="s">
        <v>70</v>
      </c>
      <c r="AC15" s="24" t="s">
        <v>70</v>
      </c>
      <c r="AD15" s="24" t="s">
        <v>70</v>
      </c>
      <c r="AE15" s="24"/>
      <c r="AF15" s="24" t="s">
        <v>70</v>
      </c>
      <c r="AG15" s="24" t="s">
        <v>70</v>
      </c>
      <c r="AH15" s="24" t="s">
        <v>71</v>
      </c>
      <c r="AI15" s="25"/>
      <c r="AJ15" s="24">
        <f t="shared" si="2"/>
        <v>27</v>
      </c>
      <c r="AK15" s="24">
        <f t="shared" si="3"/>
        <v>26</v>
      </c>
      <c r="AL15" s="26">
        <f t="shared" si="3"/>
        <v>1</v>
      </c>
    </row>
    <row r="16" spans="1:38" ht="30" x14ac:dyDescent="0.5">
      <c r="B16" s="37">
        <v>3435</v>
      </c>
      <c r="C16" s="38" t="s">
        <v>12</v>
      </c>
      <c r="D16" s="24" t="s">
        <v>70</v>
      </c>
      <c r="E16" s="24" t="s">
        <v>70</v>
      </c>
      <c r="F16" s="24" t="s">
        <v>70</v>
      </c>
      <c r="G16" s="24" t="s">
        <v>70</v>
      </c>
      <c r="H16" s="24" t="s">
        <v>70</v>
      </c>
      <c r="I16" s="24" t="s">
        <v>70</v>
      </c>
      <c r="J16" s="24"/>
      <c r="K16" s="24" t="s">
        <v>70</v>
      </c>
      <c r="L16" s="24" t="s">
        <v>70</v>
      </c>
      <c r="M16" s="24" t="s">
        <v>70</v>
      </c>
      <c r="N16" s="24" t="s">
        <v>70</v>
      </c>
      <c r="O16" s="24" t="s">
        <v>70</v>
      </c>
      <c r="P16" s="24" t="s">
        <v>70</v>
      </c>
      <c r="Q16" s="24"/>
      <c r="R16" s="24" t="s">
        <v>70</v>
      </c>
      <c r="S16" s="24" t="s">
        <v>70</v>
      </c>
      <c r="T16" s="24" t="s">
        <v>70</v>
      </c>
      <c r="U16" s="24" t="s">
        <v>70</v>
      </c>
      <c r="V16" s="24" t="s">
        <v>70</v>
      </c>
      <c r="W16" s="24" t="s">
        <v>70</v>
      </c>
      <c r="X16" s="24"/>
      <c r="Y16" s="24" t="s">
        <v>70</v>
      </c>
      <c r="Z16" s="24" t="s">
        <v>70</v>
      </c>
      <c r="AA16" s="24" t="s">
        <v>70</v>
      </c>
      <c r="AB16" s="24" t="s">
        <v>70</v>
      </c>
      <c r="AC16" s="24" t="s">
        <v>70</v>
      </c>
      <c r="AD16" s="24" t="s">
        <v>70</v>
      </c>
      <c r="AE16" s="24"/>
      <c r="AF16" s="24" t="s">
        <v>70</v>
      </c>
      <c r="AG16" s="24" t="s">
        <v>70</v>
      </c>
      <c r="AH16" s="24" t="s">
        <v>70</v>
      </c>
      <c r="AI16" s="25"/>
      <c r="AJ16" s="24">
        <f t="shared" si="2"/>
        <v>27</v>
      </c>
      <c r="AK16" s="24">
        <f t="shared" si="3"/>
        <v>27</v>
      </c>
      <c r="AL16" s="26">
        <f t="shared" si="3"/>
        <v>0</v>
      </c>
    </row>
    <row r="17" spans="2:38" ht="30" x14ac:dyDescent="0.5">
      <c r="B17" s="37">
        <v>3436</v>
      </c>
      <c r="C17" s="38" t="s">
        <v>13</v>
      </c>
      <c r="D17" s="24" t="s">
        <v>70</v>
      </c>
      <c r="E17" s="24" t="s">
        <v>70</v>
      </c>
      <c r="F17" s="24" t="s">
        <v>70</v>
      </c>
      <c r="G17" s="24" t="s">
        <v>70</v>
      </c>
      <c r="H17" s="24" t="s">
        <v>70</v>
      </c>
      <c r="I17" s="24" t="s">
        <v>70</v>
      </c>
      <c r="J17" s="24"/>
      <c r="K17" s="24" t="s">
        <v>70</v>
      </c>
      <c r="L17" s="24" t="s">
        <v>70</v>
      </c>
      <c r="M17" s="24" t="s">
        <v>70</v>
      </c>
      <c r="N17" s="24" t="s">
        <v>70</v>
      </c>
      <c r="O17" s="24" t="s">
        <v>71</v>
      </c>
      <c r="P17" s="24" t="s">
        <v>70</v>
      </c>
      <c r="Q17" s="24"/>
      <c r="R17" s="24" t="s">
        <v>70</v>
      </c>
      <c r="S17" s="24" t="s">
        <v>70</v>
      </c>
      <c r="T17" s="24" t="s">
        <v>70</v>
      </c>
      <c r="U17" s="24" t="s">
        <v>70</v>
      </c>
      <c r="V17" s="24" t="s">
        <v>70</v>
      </c>
      <c r="W17" s="24" t="s">
        <v>70</v>
      </c>
      <c r="X17" s="24"/>
      <c r="Y17" s="24" t="s">
        <v>70</v>
      </c>
      <c r="Z17" s="24" t="s">
        <v>70</v>
      </c>
      <c r="AA17" s="24" t="s">
        <v>70</v>
      </c>
      <c r="AB17" s="24" t="s">
        <v>70</v>
      </c>
      <c r="AC17" s="24" t="s">
        <v>70</v>
      </c>
      <c r="AD17" s="24" t="s">
        <v>70</v>
      </c>
      <c r="AE17" s="24"/>
      <c r="AF17" s="24" t="s">
        <v>70</v>
      </c>
      <c r="AG17" s="24" t="s">
        <v>70</v>
      </c>
      <c r="AH17" s="24" t="s">
        <v>70</v>
      </c>
      <c r="AI17" s="25"/>
      <c r="AJ17" s="24">
        <f t="shared" si="2"/>
        <v>27</v>
      </c>
      <c r="AK17" s="24">
        <f t="shared" si="3"/>
        <v>26</v>
      </c>
      <c r="AL17" s="26">
        <f t="shared" si="3"/>
        <v>1</v>
      </c>
    </row>
    <row r="18" spans="2:38" ht="30" x14ac:dyDescent="0.5">
      <c r="B18" s="37">
        <v>3437</v>
      </c>
      <c r="C18" s="38" t="s">
        <v>14</v>
      </c>
      <c r="D18" s="24" t="s">
        <v>70</v>
      </c>
      <c r="E18" s="24" t="s">
        <v>70</v>
      </c>
      <c r="F18" s="24" t="s">
        <v>70</v>
      </c>
      <c r="G18" s="24" t="s">
        <v>70</v>
      </c>
      <c r="H18" s="24" t="s">
        <v>70</v>
      </c>
      <c r="I18" s="24" t="s">
        <v>70</v>
      </c>
      <c r="J18" s="24"/>
      <c r="K18" s="24" t="s">
        <v>70</v>
      </c>
      <c r="L18" s="24" t="s">
        <v>70</v>
      </c>
      <c r="M18" s="24" t="s">
        <v>70</v>
      </c>
      <c r="N18" s="24" t="s">
        <v>70</v>
      </c>
      <c r="O18" s="24" t="s">
        <v>70</v>
      </c>
      <c r="P18" s="24" t="s">
        <v>70</v>
      </c>
      <c r="Q18" s="24"/>
      <c r="R18" s="24" t="s">
        <v>70</v>
      </c>
      <c r="S18" s="24" t="s">
        <v>70</v>
      </c>
      <c r="T18" s="24" t="s">
        <v>71</v>
      </c>
      <c r="U18" s="24" t="s">
        <v>70</v>
      </c>
      <c r="V18" s="24" t="s">
        <v>70</v>
      </c>
      <c r="W18" s="24" t="s">
        <v>70</v>
      </c>
      <c r="X18" s="24"/>
      <c r="Y18" s="24" t="s">
        <v>70</v>
      </c>
      <c r="Z18" s="24" t="s">
        <v>70</v>
      </c>
      <c r="AA18" s="24" t="s">
        <v>70</v>
      </c>
      <c r="AB18" s="24" t="s">
        <v>70</v>
      </c>
      <c r="AC18" s="24" t="s">
        <v>70</v>
      </c>
      <c r="AD18" s="24" t="s">
        <v>70</v>
      </c>
      <c r="AE18" s="24"/>
      <c r="AF18" s="24" t="s">
        <v>70</v>
      </c>
      <c r="AG18" s="24" t="s">
        <v>70</v>
      </c>
      <c r="AH18" s="24" t="s">
        <v>70</v>
      </c>
      <c r="AI18" s="25"/>
      <c r="AJ18" s="24">
        <f t="shared" si="2"/>
        <v>27</v>
      </c>
      <c r="AK18" s="24">
        <f t="shared" si="3"/>
        <v>26</v>
      </c>
      <c r="AL18" s="26">
        <f t="shared" si="3"/>
        <v>1</v>
      </c>
    </row>
    <row r="19" spans="2:38" ht="30" x14ac:dyDescent="0.5">
      <c r="B19" s="37">
        <v>3438</v>
      </c>
      <c r="C19" s="38" t="s">
        <v>15</v>
      </c>
      <c r="D19" s="24" t="s">
        <v>70</v>
      </c>
      <c r="E19" s="24" t="s">
        <v>70</v>
      </c>
      <c r="F19" s="24" t="s">
        <v>70</v>
      </c>
      <c r="G19" s="24" t="s">
        <v>70</v>
      </c>
      <c r="H19" s="24" t="s">
        <v>70</v>
      </c>
      <c r="I19" s="24" t="s">
        <v>70</v>
      </c>
      <c r="J19" s="24"/>
      <c r="K19" s="24" t="s">
        <v>70</v>
      </c>
      <c r="L19" s="24" t="s">
        <v>70</v>
      </c>
      <c r="M19" s="24" t="s">
        <v>70</v>
      </c>
      <c r="N19" s="24" t="s">
        <v>70</v>
      </c>
      <c r="O19" s="24" t="s">
        <v>70</v>
      </c>
      <c r="P19" s="24" t="s">
        <v>70</v>
      </c>
      <c r="Q19" s="24"/>
      <c r="R19" s="24" t="s">
        <v>70</v>
      </c>
      <c r="S19" s="24" t="s">
        <v>70</v>
      </c>
      <c r="T19" s="24" t="s">
        <v>70</v>
      </c>
      <c r="U19" s="24" t="s">
        <v>70</v>
      </c>
      <c r="V19" s="24" t="s">
        <v>70</v>
      </c>
      <c r="W19" s="24" t="s">
        <v>70</v>
      </c>
      <c r="X19" s="24"/>
      <c r="Y19" s="24" t="s">
        <v>70</v>
      </c>
      <c r="Z19" s="24" t="s">
        <v>70</v>
      </c>
      <c r="AA19" s="24" t="s">
        <v>70</v>
      </c>
      <c r="AB19" s="24" t="s">
        <v>70</v>
      </c>
      <c r="AC19" s="24" t="s">
        <v>71</v>
      </c>
      <c r="AD19" s="24" t="s">
        <v>70</v>
      </c>
      <c r="AE19" s="24"/>
      <c r="AF19" s="24" t="s">
        <v>70</v>
      </c>
      <c r="AG19" s="24" t="s">
        <v>70</v>
      </c>
      <c r="AH19" s="24" t="s">
        <v>70</v>
      </c>
      <c r="AI19" s="25"/>
      <c r="AJ19" s="24">
        <f t="shared" si="2"/>
        <v>27</v>
      </c>
      <c r="AK19" s="24">
        <f t="shared" si="3"/>
        <v>26</v>
      </c>
      <c r="AL19" s="26">
        <f t="shared" si="3"/>
        <v>1</v>
      </c>
    </row>
    <row r="20" spans="2:38" ht="30" x14ac:dyDescent="0.5">
      <c r="B20" s="37">
        <v>3439</v>
      </c>
      <c r="C20" s="38" t="s">
        <v>16</v>
      </c>
      <c r="D20" s="24" t="s">
        <v>70</v>
      </c>
      <c r="E20" s="24" t="s">
        <v>70</v>
      </c>
      <c r="F20" s="24" t="s">
        <v>70</v>
      </c>
      <c r="G20" s="24" t="s">
        <v>70</v>
      </c>
      <c r="H20" s="24" t="s">
        <v>70</v>
      </c>
      <c r="I20" s="24" t="s">
        <v>70</v>
      </c>
      <c r="J20" s="24"/>
      <c r="K20" s="24" t="s">
        <v>70</v>
      </c>
      <c r="L20" s="24" t="s">
        <v>70</v>
      </c>
      <c r="M20" s="24" t="s">
        <v>70</v>
      </c>
      <c r="N20" s="24" t="s">
        <v>70</v>
      </c>
      <c r="O20" s="24" t="s">
        <v>70</v>
      </c>
      <c r="P20" s="24" t="s">
        <v>70</v>
      </c>
      <c r="Q20" s="24"/>
      <c r="R20" s="24" t="s">
        <v>70</v>
      </c>
      <c r="S20" s="24" t="s">
        <v>70</v>
      </c>
      <c r="T20" s="24" t="s">
        <v>70</v>
      </c>
      <c r="U20" s="24" t="s">
        <v>70</v>
      </c>
      <c r="V20" s="24" t="s">
        <v>70</v>
      </c>
      <c r="W20" s="24" t="s">
        <v>70</v>
      </c>
      <c r="X20" s="24"/>
      <c r="Y20" s="24" t="s">
        <v>70</v>
      </c>
      <c r="Z20" s="24" t="s">
        <v>70</v>
      </c>
      <c r="AA20" s="24" t="s">
        <v>70</v>
      </c>
      <c r="AB20" s="24" t="s">
        <v>70</v>
      </c>
      <c r="AC20" s="24" t="s">
        <v>70</v>
      </c>
      <c r="AD20" s="24" t="s">
        <v>70</v>
      </c>
      <c r="AE20" s="24"/>
      <c r="AF20" s="24" t="s">
        <v>70</v>
      </c>
      <c r="AG20" s="24" t="s">
        <v>71</v>
      </c>
      <c r="AH20" s="24" t="s">
        <v>70</v>
      </c>
      <c r="AI20" s="25"/>
      <c r="AJ20" s="24">
        <f t="shared" si="2"/>
        <v>27</v>
      </c>
      <c r="AK20" s="24">
        <f t="shared" si="3"/>
        <v>26</v>
      </c>
      <c r="AL20" s="26">
        <f t="shared" si="3"/>
        <v>1</v>
      </c>
    </row>
    <row r="21" spans="2:38" ht="30" x14ac:dyDescent="0.5">
      <c r="B21" s="37">
        <v>3440</v>
      </c>
      <c r="C21" s="38" t="s">
        <v>17</v>
      </c>
      <c r="D21" s="24" t="s">
        <v>70</v>
      </c>
      <c r="E21" s="24" t="s">
        <v>70</v>
      </c>
      <c r="F21" s="24" t="s">
        <v>70</v>
      </c>
      <c r="G21" s="24" t="s">
        <v>70</v>
      </c>
      <c r="H21" s="24" t="s">
        <v>70</v>
      </c>
      <c r="I21" s="24" t="s">
        <v>70</v>
      </c>
      <c r="J21" s="24"/>
      <c r="K21" s="24" t="s">
        <v>70</v>
      </c>
      <c r="L21" s="24" t="s">
        <v>70</v>
      </c>
      <c r="M21" s="24" t="s">
        <v>70</v>
      </c>
      <c r="N21" s="24" t="s">
        <v>70</v>
      </c>
      <c r="O21" s="24" t="s">
        <v>70</v>
      </c>
      <c r="P21" s="24" t="s">
        <v>70</v>
      </c>
      <c r="Q21" s="24"/>
      <c r="R21" s="24" t="s">
        <v>70</v>
      </c>
      <c r="S21" s="24" t="s">
        <v>70</v>
      </c>
      <c r="T21" s="24" t="s">
        <v>70</v>
      </c>
      <c r="U21" s="24" t="s">
        <v>70</v>
      </c>
      <c r="V21" s="24" t="s">
        <v>70</v>
      </c>
      <c r="W21" s="24" t="s">
        <v>70</v>
      </c>
      <c r="X21" s="24"/>
      <c r="Y21" s="24" t="s">
        <v>70</v>
      </c>
      <c r="Z21" s="24" t="s">
        <v>70</v>
      </c>
      <c r="AA21" s="24" t="s">
        <v>70</v>
      </c>
      <c r="AB21" s="24" t="s">
        <v>70</v>
      </c>
      <c r="AC21" s="24" t="s">
        <v>70</v>
      </c>
      <c r="AD21" s="24" t="s">
        <v>70</v>
      </c>
      <c r="AE21" s="24"/>
      <c r="AF21" s="24" t="s">
        <v>70</v>
      </c>
      <c r="AG21" s="24" t="s">
        <v>70</v>
      </c>
      <c r="AH21" s="24" t="s">
        <v>70</v>
      </c>
      <c r="AI21" s="25"/>
      <c r="AJ21" s="24">
        <f t="shared" si="2"/>
        <v>27</v>
      </c>
      <c r="AK21" s="24">
        <f t="shared" si="3"/>
        <v>27</v>
      </c>
      <c r="AL21" s="26">
        <f t="shared" si="3"/>
        <v>0</v>
      </c>
    </row>
    <row r="22" spans="2:38" ht="30" x14ac:dyDescent="0.5">
      <c r="B22" s="37">
        <v>3441</v>
      </c>
      <c r="C22" s="38" t="s">
        <v>18</v>
      </c>
      <c r="D22" s="24" t="s">
        <v>70</v>
      </c>
      <c r="E22" s="24" t="s">
        <v>70</v>
      </c>
      <c r="F22" s="24" t="s">
        <v>70</v>
      </c>
      <c r="G22" s="24" t="s">
        <v>70</v>
      </c>
      <c r="H22" s="24" t="s">
        <v>70</v>
      </c>
      <c r="I22" s="24" t="s">
        <v>70</v>
      </c>
      <c r="J22" s="24"/>
      <c r="K22" s="24" t="s">
        <v>70</v>
      </c>
      <c r="L22" s="24" t="s">
        <v>70</v>
      </c>
      <c r="M22" s="24" t="s">
        <v>70</v>
      </c>
      <c r="N22" s="24" t="s">
        <v>70</v>
      </c>
      <c r="O22" s="24" t="s">
        <v>70</v>
      </c>
      <c r="P22" s="24" t="s">
        <v>70</v>
      </c>
      <c r="Q22" s="24"/>
      <c r="R22" s="24" t="s">
        <v>70</v>
      </c>
      <c r="S22" s="24" t="s">
        <v>70</v>
      </c>
      <c r="T22" s="24" t="s">
        <v>70</v>
      </c>
      <c r="U22" s="24" t="s">
        <v>70</v>
      </c>
      <c r="V22" s="24" t="s">
        <v>70</v>
      </c>
      <c r="W22" s="24" t="s">
        <v>70</v>
      </c>
      <c r="X22" s="24"/>
      <c r="Y22" s="24" t="s">
        <v>70</v>
      </c>
      <c r="Z22" s="24" t="s">
        <v>70</v>
      </c>
      <c r="AA22" s="24" t="s">
        <v>70</v>
      </c>
      <c r="AB22" s="24" t="s">
        <v>70</v>
      </c>
      <c r="AC22" s="24" t="s">
        <v>70</v>
      </c>
      <c r="AD22" s="24" t="s">
        <v>70</v>
      </c>
      <c r="AE22" s="24"/>
      <c r="AF22" s="24" t="s">
        <v>70</v>
      </c>
      <c r="AG22" s="24" t="s">
        <v>70</v>
      </c>
      <c r="AH22" s="24" t="s">
        <v>70</v>
      </c>
      <c r="AI22" s="25"/>
      <c r="AJ22" s="24">
        <f t="shared" si="2"/>
        <v>27</v>
      </c>
      <c r="AK22" s="24">
        <f t="shared" si="3"/>
        <v>27</v>
      </c>
      <c r="AL22" s="26">
        <f t="shared" si="3"/>
        <v>0</v>
      </c>
    </row>
    <row r="23" spans="2:38" ht="30" x14ac:dyDescent="0.5">
      <c r="B23" s="37">
        <v>3442</v>
      </c>
      <c r="C23" s="38" t="s">
        <v>19</v>
      </c>
      <c r="D23" s="24" t="s">
        <v>70</v>
      </c>
      <c r="E23" s="24" t="s">
        <v>70</v>
      </c>
      <c r="F23" s="24" t="s">
        <v>71</v>
      </c>
      <c r="G23" s="24" t="s">
        <v>70</v>
      </c>
      <c r="H23" s="24" t="s">
        <v>70</v>
      </c>
      <c r="I23" s="24" t="s">
        <v>70</v>
      </c>
      <c r="J23" s="24"/>
      <c r="K23" s="24" t="s">
        <v>70</v>
      </c>
      <c r="L23" s="24" t="s">
        <v>70</v>
      </c>
      <c r="M23" s="24" t="s">
        <v>70</v>
      </c>
      <c r="N23" s="24" t="s">
        <v>70</v>
      </c>
      <c r="O23" s="24" t="s">
        <v>70</v>
      </c>
      <c r="P23" s="24" t="s">
        <v>70</v>
      </c>
      <c r="Q23" s="24"/>
      <c r="R23" s="24" t="s">
        <v>70</v>
      </c>
      <c r="S23" s="24" t="s">
        <v>70</v>
      </c>
      <c r="T23" s="24" t="s">
        <v>71</v>
      </c>
      <c r="U23" s="24" t="s">
        <v>70</v>
      </c>
      <c r="V23" s="24" t="s">
        <v>70</v>
      </c>
      <c r="W23" s="24" t="s">
        <v>70</v>
      </c>
      <c r="X23" s="24"/>
      <c r="Y23" s="24" t="s">
        <v>70</v>
      </c>
      <c r="Z23" s="24" t="s">
        <v>71</v>
      </c>
      <c r="AA23" s="24" t="s">
        <v>70</v>
      </c>
      <c r="AB23" s="24" t="s">
        <v>70</v>
      </c>
      <c r="AC23" s="24" t="s">
        <v>70</v>
      </c>
      <c r="AD23" s="24" t="s">
        <v>70</v>
      </c>
      <c r="AE23" s="24"/>
      <c r="AF23" s="24" t="s">
        <v>70</v>
      </c>
      <c r="AG23" s="24" t="s">
        <v>70</v>
      </c>
      <c r="AH23" s="24" t="s">
        <v>70</v>
      </c>
      <c r="AI23" s="25"/>
      <c r="AJ23" s="24">
        <f t="shared" si="2"/>
        <v>27</v>
      </c>
      <c r="AK23" s="24">
        <f t="shared" si="3"/>
        <v>24</v>
      </c>
      <c r="AL23" s="26">
        <f t="shared" si="3"/>
        <v>3</v>
      </c>
    </row>
    <row r="24" spans="2:38" ht="30" x14ac:dyDescent="0.5">
      <c r="B24" s="37">
        <v>3443</v>
      </c>
      <c r="C24" s="38" t="s">
        <v>20</v>
      </c>
      <c r="D24" s="24" t="s">
        <v>70</v>
      </c>
      <c r="E24" s="24" t="s">
        <v>70</v>
      </c>
      <c r="F24" s="24" t="s">
        <v>70</v>
      </c>
      <c r="G24" s="24" t="s">
        <v>70</v>
      </c>
      <c r="H24" s="24" t="s">
        <v>70</v>
      </c>
      <c r="I24" s="24" t="s">
        <v>70</v>
      </c>
      <c r="J24" s="24"/>
      <c r="K24" s="24" t="s">
        <v>70</v>
      </c>
      <c r="L24" s="24" t="s">
        <v>70</v>
      </c>
      <c r="M24" s="24" t="s">
        <v>70</v>
      </c>
      <c r="N24" s="24" t="s">
        <v>70</v>
      </c>
      <c r="O24" s="24" t="s">
        <v>70</v>
      </c>
      <c r="P24" s="24" t="s">
        <v>70</v>
      </c>
      <c r="Q24" s="24"/>
      <c r="R24" s="24" t="s">
        <v>70</v>
      </c>
      <c r="S24" s="24" t="s">
        <v>70</v>
      </c>
      <c r="T24" s="24" t="s">
        <v>70</v>
      </c>
      <c r="U24" s="24" t="s">
        <v>70</v>
      </c>
      <c r="V24" s="24" t="s">
        <v>70</v>
      </c>
      <c r="W24" s="24" t="s">
        <v>70</v>
      </c>
      <c r="X24" s="24"/>
      <c r="Y24" s="24" t="s">
        <v>70</v>
      </c>
      <c r="Z24" s="24" t="s">
        <v>70</v>
      </c>
      <c r="AA24" s="24" t="s">
        <v>70</v>
      </c>
      <c r="AB24" s="24" t="s">
        <v>70</v>
      </c>
      <c r="AC24" s="24" t="s">
        <v>70</v>
      </c>
      <c r="AD24" s="24" t="s">
        <v>70</v>
      </c>
      <c r="AE24" s="24"/>
      <c r="AF24" s="24" t="s">
        <v>70</v>
      </c>
      <c r="AG24" s="24" t="s">
        <v>70</v>
      </c>
      <c r="AH24" s="24" t="s">
        <v>70</v>
      </c>
      <c r="AI24" s="25"/>
      <c r="AJ24" s="24">
        <f t="shared" si="2"/>
        <v>27</v>
      </c>
      <c r="AK24" s="24">
        <f t="shared" si="3"/>
        <v>27</v>
      </c>
      <c r="AL24" s="26">
        <f t="shared" si="3"/>
        <v>0</v>
      </c>
    </row>
    <row r="25" spans="2:38" ht="30" x14ac:dyDescent="0.5">
      <c r="B25" s="37">
        <v>3444</v>
      </c>
      <c r="C25" s="38" t="s">
        <v>21</v>
      </c>
      <c r="D25" s="24" t="s">
        <v>70</v>
      </c>
      <c r="E25" s="24" t="s">
        <v>70</v>
      </c>
      <c r="F25" s="24" t="s">
        <v>70</v>
      </c>
      <c r="G25" s="24" t="s">
        <v>70</v>
      </c>
      <c r="H25" s="24" t="s">
        <v>70</v>
      </c>
      <c r="I25" s="24" t="s">
        <v>70</v>
      </c>
      <c r="J25" s="24"/>
      <c r="K25" s="24" t="s">
        <v>70</v>
      </c>
      <c r="L25" s="24" t="s">
        <v>70</v>
      </c>
      <c r="M25" s="24" t="s">
        <v>70</v>
      </c>
      <c r="N25" s="24" t="s">
        <v>70</v>
      </c>
      <c r="O25" s="24" t="s">
        <v>70</v>
      </c>
      <c r="P25" s="24" t="s">
        <v>70</v>
      </c>
      <c r="Q25" s="24"/>
      <c r="R25" s="24" t="s">
        <v>70</v>
      </c>
      <c r="S25" s="24" t="s">
        <v>70</v>
      </c>
      <c r="T25" s="24" t="s">
        <v>70</v>
      </c>
      <c r="U25" s="24" t="s">
        <v>70</v>
      </c>
      <c r="V25" s="24" t="s">
        <v>70</v>
      </c>
      <c r="W25" s="24" t="s">
        <v>70</v>
      </c>
      <c r="X25" s="24"/>
      <c r="Y25" s="24" t="s">
        <v>70</v>
      </c>
      <c r="Z25" s="24" t="s">
        <v>70</v>
      </c>
      <c r="AA25" s="24" t="s">
        <v>70</v>
      </c>
      <c r="AB25" s="24" t="s">
        <v>70</v>
      </c>
      <c r="AC25" s="24" t="s">
        <v>70</v>
      </c>
      <c r="AD25" s="24" t="s">
        <v>70</v>
      </c>
      <c r="AE25" s="24"/>
      <c r="AF25" s="24" t="s">
        <v>70</v>
      </c>
      <c r="AG25" s="24" t="s">
        <v>70</v>
      </c>
      <c r="AH25" s="24" t="s">
        <v>70</v>
      </c>
      <c r="AI25" s="25"/>
      <c r="AJ25" s="24">
        <f t="shared" si="2"/>
        <v>27</v>
      </c>
      <c r="AK25" s="24">
        <f t="shared" si="3"/>
        <v>27</v>
      </c>
      <c r="AL25" s="26">
        <f t="shared" si="3"/>
        <v>0</v>
      </c>
    </row>
    <row r="26" spans="2:38" ht="30" x14ac:dyDescent="0.5">
      <c r="B26" s="37">
        <v>3445</v>
      </c>
      <c r="C26" s="38" t="s">
        <v>22</v>
      </c>
      <c r="D26" s="24" t="s">
        <v>70</v>
      </c>
      <c r="E26" s="24" t="s">
        <v>70</v>
      </c>
      <c r="F26" s="24" t="s">
        <v>70</v>
      </c>
      <c r="G26" s="24" t="s">
        <v>70</v>
      </c>
      <c r="H26" s="24" t="s">
        <v>70</v>
      </c>
      <c r="I26" s="24" t="s">
        <v>70</v>
      </c>
      <c r="J26" s="24"/>
      <c r="K26" s="24" t="s">
        <v>70</v>
      </c>
      <c r="L26" s="24" t="s">
        <v>70</v>
      </c>
      <c r="M26" s="24" t="s">
        <v>70</v>
      </c>
      <c r="N26" s="24" t="s">
        <v>70</v>
      </c>
      <c r="O26" s="24" t="s">
        <v>70</v>
      </c>
      <c r="P26" s="24" t="s">
        <v>70</v>
      </c>
      <c r="Q26" s="24"/>
      <c r="R26" s="24" t="s">
        <v>70</v>
      </c>
      <c r="S26" s="24" t="s">
        <v>70</v>
      </c>
      <c r="T26" s="24" t="s">
        <v>70</v>
      </c>
      <c r="U26" s="24" t="s">
        <v>70</v>
      </c>
      <c r="V26" s="24" t="s">
        <v>70</v>
      </c>
      <c r="W26" s="24" t="s">
        <v>70</v>
      </c>
      <c r="X26" s="24"/>
      <c r="Y26" s="24" t="s">
        <v>70</v>
      </c>
      <c r="Z26" s="24" t="s">
        <v>70</v>
      </c>
      <c r="AA26" s="24" t="s">
        <v>70</v>
      </c>
      <c r="AB26" s="24" t="s">
        <v>70</v>
      </c>
      <c r="AC26" s="24" t="s">
        <v>70</v>
      </c>
      <c r="AD26" s="24" t="s">
        <v>70</v>
      </c>
      <c r="AE26" s="24"/>
      <c r="AF26" s="24" t="s">
        <v>70</v>
      </c>
      <c r="AG26" s="24" t="s">
        <v>70</v>
      </c>
      <c r="AH26" s="24" t="s">
        <v>70</v>
      </c>
      <c r="AI26" s="25"/>
      <c r="AJ26" s="24">
        <f t="shared" si="2"/>
        <v>27</v>
      </c>
      <c r="AK26" s="24">
        <f t="shared" si="3"/>
        <v>27</v>
      </c>
      <c r="AL26" s="26">
        <f t="shared" si="3"/>
        <v>0</v>
      </c>
    </row>
    <row r="27" spans="2:38" ht="30" x14ac:dyDescent="0.5">
      <c r="B27" s="37">
        <v>3446</v>
      </c>
      <c r="C27" s="38" t="s">
        <v>23</v>
      </c>
      <c r="D27" s="24" t="s">
        <v>70</v>
      </c>
      <c r="E27" s="24" t="s">
        <v>70</v>
      </c>
      <c r="F27" s="24" t="s">
        <v>70</v>
      </c>
      <c r="G27" s="24" t="s">
        <v>70</v>
      </c>
      <c r="H27" s="24" t="s">
        <v>70</v>
      </c>
      <c r="I27" s="24" t="s">
        <v>70</v>
      </c>
      <c r="J27" s="24"/>
      <c r="K27" s="24" t="s">
        <v>70</v>
      </c>
      <c r="L27" s="24" t="s">
        <v>70</v>
      </c>
      <c r="M27" s="24" t="s">
        <v>70</v>
      </c>
      <c r="N27" s="24" t="s">
        <v>70</v>
      </c>
      <c r="O27" s="24" t="s">
        <v>70</v>
      </c>
      <c r="P27" s="24" t="s">
        <v>70</v>
      </c>
      <c r="Q27" s="24"/>
      <c r="R27" s="24" t="s">
        <v>70</v>
      </c>
      <c r="S27" s="24" t="s">
        <v>70</v>
      </c>
      <c r="T27" s="24" t="s">
        <v>70</v>
      </c>
      <c r="U27" s="24" t="s">
        <v>70</v>
      </c>
      <c r="V27" s="24" t="s">
        <v>70</v>
      </c>
      <c r="W27" s="24" t="s">
        <v>70</v>
      </c>
      <c r="X27" s="24"/>
      <c r="Y27" s="24" t="s">
        <v>70</v>
      </c>
      <c r="Z27" s="24" t="s">
        <v>70</v>
      </c>
      <c r="AA27" s="24" t="s">
        <v>70</v>
      </c>
      <c r="AB27" s="24" t="s">
        <v>70</v>
      </c>
      <c r="AC27" s="24" t="s">
        <v>70</v>
      </c>
      <c r="AD27" s="24" t="s">
        <v>70</v>
      </c>
      <c r="AE27" s="24"/>
      <c r="AF27" s="24" t="s">
        <v>70</v>
      </c>
      <c r="AG27" s="24" t="s">
        <v>70</v>
      </c>
      <c r="AH27" s="24" t="s">
        <v>70</v>
      </c>
      <c r="AI27" s="25"/>
      <c r="AJ27" s="24">
        <f t="shared" si="2"/>
        <v>27</v>
      </c>
      <c r="AK27" s="24">
        <f t="shared" si="3"/>
        <v>27</v>
      </c>
      <c r="AL27" s="26">
        <f t="shared" si="3"/>
        <v>0</v>
      </c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39" priority="1" operator="containsText" text="A">
      <formula>NOT(ISERROR(SEARCH("A",D8)))</formula>
    </cfRule>
    <cfRule type="expression" dxfId="38" priority="5">
      <formula>D$6="Sun"</formula>
    </cfRule>
    <cfRule type="expression" dxfId="37" priority="6">
      <formula>D$6="Sun"</formula>
    </cfRule>
  </conditionalFormatting>
  <conditionalFormatting sqref="D6:AL7">
    <cfRule type="notContainsBlanks" dxfId="36" priority="2">
      <formula>LEN(TRIM(D6))&gt;0</formula>
    </cfRule>
    <cfRule type="notContainsBlanks" dxfId="35" priority="3">
      <formula>LEN(TRIM(D6))&gt;0</formula>
    </cfRule>
  </conditionalFormatting>
  <conditionalFormatting sqref="D6:AL27">
    <cfRule type="expression" dxfId="34" priority="4">
      <formula>D$6&lt;&gt;""</formula>
    </cfRule>
  </conditionalFormatting>
  <dataValidations count="4">
    <dataValidation type="custom" allowBlank="1" showInputMessage="1" showErrorMessage="1" errorTitle="Info" error="Week Off" sqref="D6:AH27" xr:uid="{00000000-0002-0000-0B00-000000000000}">
      <formula1>D$6&lt;&gt;"Sun"</formula1>
    </dataValidation>
    <dataValidation type="custom" allowBlank="1" showInputMessage="1" showErrorMessage="1" errorTitle="Info" error="Week Off" sqref="AI6:AL27" xr:uid="{00000000-0002-0000-0B00-000001000000}">
      <formula1>AI$6&lt;&gt;""</formula1>
    </dataValidation>
    <dataValidation type="list" allowBlank="1" showInputMessage="1" showErrorMessage="1" sqref="C4" xr:uid="{00000000-0002-0000-0B00-000002000000}">
      <formula1>"2024"</formula1>
    </dataValidation>
    <dataValidation type="list" allowBlank="1" showInputMessage="1" showErrorMessage="1" sqref="C3" xr:uid="{00000000-0002-0000-0B00-000003000000}">
      <formula1>"JANUARY,FEBRUARY,MARCH,APRIL,MAY,JUNE,JULY,AUGUST,SEPTEMBER,NOVEMBER,DECEMBER"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L27"/>
  <sheetViews>
    <sheetView showGridLines="0" zoomScale="50" zoomScaleNormal="50" workbookViewId="0">
      <selection activeCell="AP8" sqref="AP8"/>
    </sheetView>
  </sheetViews>
  <sheetFormatPr defaultRowHeight="14.4" x14ac:dyDescent="0.3"/>
  <cols>
    <col min="1" max="1" width="30.5546875" customWidth="1"/>
    <col min="2" max="2" width="19.44140625" bestFit="1" customWidth="1"/>
    <col min="3" max="3" width="20.88671875" bestFit="1" customWidth="1"/>
    <col min="4" max="34" width="8" bestFit="1" customWidth="1"/>
    <col min="36" max="36" width="18.33203125" bestFit="1" customWidth="1"/>
    <col min="37" max="37" width="5.33203125" bestFit="1" customWidth="1"/>
    <col min="38" max="38" width="3.6640625" bestFit="1" customWidth="1"/>
    <col min="39" max="39" width="4.44140625" customWidth="1"/>
  </cols>
  <sheetData>
    <row r="1" spans="1:38" ht="55.5" customHeight="1" thickBot="1" x14ac:dyDescent="0.35"/>
    <row r="2" spans="1:38" ht="55.2" x14ac:dyDescent="1.3">
      <c r="A2" s="202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1" x14ac:dyDescent="0.4">
      <c r="B3" s="11" t="s">
        <v>64</v>
      </c>
      <c r="C3" s="12" t="s">
        <v>73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1" x14ac:dyDescent="0.4">
      <c r="B4" s="11" t="s">
        <v>65</v>
      </c>
      <c r="C4" s="1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18.600000000000001" thickBot="1" x14ac:dyDescent="0.4">
      <c r="B5" s="3">
        <f>DATEVALUE("1"&amp;C3&amp;C4)</f>
        <v>45505</v>
      </c>
      <c r="C5" s="2">
        <f>EOMONTH(B5,0)</f>
        <v>45535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31.8" x14ac:dyDescent="0.35">
      <c r="B6" s="298" t="s">
        <v>2</v>
      </c>
      <c r="C6" s="299" t="s">
        <v>3</v>
      </c>
      <c r="D6" s="4" t="str">
        <f>TEXT(D7,"DDD")</f>
        <v>Thu</v>
      </c>
      <c r="E6" s="4" t="str">
        <f t="shared" ref="E6:AH6" si="0">TEXT(E7,"DDD")</f>
        <v>Fri</v>
      </c>
      <c r="F6" s="4" t="str">
        <f t="shared" si="0"/>
        <v>Sat</v>
      </c>
      <c r="G6" s="4" t="str">
        <f t="shared" si="0"/>
        <v>Sun</v>
      </c>
      <c r="H6" s="4" t="str">
        <f t="shared" si="0"/>
        <v>Mon</v>
      </c>
      <c r="I6" s="4" t="str">
        <f t="shared" si="0"/>
        <v>Tue</v>
      </c>
      <c r="J6" s="4" t="str">
        <f t="shared" si="0"/>
        <v>Wed</v>
      </c>
      <c r="K6" s="4" t="str">
        <f t="shared" si="0"/>
        <v>Thu</v>
      </c>
      <c r="L6" s="4" t="str">
        <f t="shared" si="0"/>
        <v>Fri</v>
      </c>
      <c r="M6" s="4" t="str">
        <f t="shared" si="0"/>
        <v>Sat</v>
      </c>
      <c r="N6" s="4" t="str">
        <f t="shared" si="0"/>
        <v>Sun</v>
      </c>
      <c r="O6" s="4" t="str">
        <f t="shared" si="0"/>
        <v>Mon</v>
      </c>
      <c r="P6" s="4" t="str">
        <f t="shared" si="0"/>
        <v>Tue</v>
      </c>
      <c r="Q6" s="4" t="str">
        <f t="shared" si="0"/>
        <v>Wed</v>
      </c>
      <c r="R6" s="4" t="str">
        <f t="shared" si="0"/>
        <v>Thu</v>
      </c>
      <c r="S6" s="4" t="str">
        <f t="shared" si="0"/>
        <v>Fri</v>
      </c>
      <c r="T6" s="4" t="str">
        <f t="shared" si="0"/>
        <v>Sat</v>
      </c>
      <c r="U6" s="4" t="str">
        <f t="shared" si="0"/>
        <v>Sun</v>
      </c>
      <c r="V6" s="4" t="str">
        <f t="shared" si="0"/>
        <v>Mon</v>
      </c>
      <c r="W6" s="4" t="str">
        <f t="shared" si="0"/>
        <v>Tue</v>
      </c>
      <c r="X6" s="4" t="str">
        <f t="shared" si="0"/>
        <v>Wed</v>
      </c>
      <c r="Y6" s="4" t="str">
        <f t="shared" si="0"/>
        <v>Thu</v>
      </c>
      <c r="Z6" s="4" t="str">
        <f t="shared" si="0"/>
        <v>Fri</v>
      </c>
      <c r="AA6" s="4" t="str">
        <f t="shared" si="0"/>
        <v>Sat</v>
      </c>
      <c r="AB6" s="4" t="str">
        <f t="shared" si="0"/>
        <v>Sun</v>
      </c>
      <c r="AC6" s="4" t="str">
        <f t="shared" si="0"/>
        <v>Mon</v>
      </c>
      <c r="AD6" s="4" t="str">
        <f t="shared" si="0"/>
        <v>Tue</v>
      </c>
      <c r="AE6" s="4" t="str">
        <f t="shared" si="0"/>
        <v>Wed</v>
      </c>
      <c r="AF6" s="4" t="str">
        <f t="shared" si="0"/>
        <v>Thu</v>
      </c>
      <c r="AG6" s="4" t="str">
        <f t="shared" si="0"/>
        <v>Fri</v>
      </c>
      <c r="AH6" s="4" t="str">
        <f t="shared" si="0"/>
        <v>Sat</v>
      </c>
      <c r="AI6" s="5"/>
      <c r="AJ6" s="300" t="s">
        <v>69</v>
      </c>
      <c r="AK6" s="300" t="s">
        <v>70</v>
      </c>
      <c r="AL6" s="301" t="s">
        <v>71</v>
      </c>
    </row>
    <row r="7" spans="1:38" ht="18" x14ac:dyDescent="0.35">
      <c r="B7" s="281"/>
      <c r="C7" s="282"/>
      <c r="D7" s="6">
        <f>B5</f>
        <v>45505</v>
      </c>
      <c r="E7" s="6">
        <f>IFERROR(IF(D7+1&gt;$C$5,"",D7+1),"")</f>
        <v>45506</v>
      </c>
      <c r="F7" s="6">
        <f t="shared" ref="F7:AG7" si="1">IFERROR(IF(E7+1&gt;$C$5,"",E7+1),"")</f>
        <v>45507</v>
      </c>
      <c r="G7" s="6">
        <f t="shared" si="1"/>
        <v>45508</v>
      </c>
      <c r="H7" s="6">
        <f t="shared" si="1"/>
        <v>45509</v>
      </c>
      <c r="I7" s="6">
        <f t="shared" si="1"/>
        <v>45510</v>
      </c>
      <c r="J7" s="6">
        <f t="shared" si="1"/>
        <v>45511</v>
      </c>
      <c r="K7" s="6">
        <f t="shared" si="1"/>
        <v>45512</v>
      </c>
      <c r="L7" s="6">
        <f t="shared" si="1"/>
        <v>45513</v>
      </c>
      <c r="M7" s="6">
        <f t="shared" si="1"/>
        <v>45514</v>
      </c>
      <c r="N7" s="6">
        <f t="shared" si="1"/>
        <v>45515</v>
      </c>
      <c r="O7" s="6">
        <f t="shared" si="1"/>
        <v>45516</v>
      </c>
      <c r="P7" s="6">
        <f t="shared" si="1"/>
        <v>45517</v>
      </c>
      <c r="Q7" s="6">
        <f t="shared" si="1"/>
        <v>45518</v>
      </c>
      <c r="R7" s="6">
        <f t="shared" si="1"/>
        <v>45519</v>
      </c>
      <c r="S7" s="6">
        <f>IFERROR(IF(R7+1&gt;$C$5,"",R7+1),"")</f>
        <v>45520</v>
      </c>
      <c r="T7" s="6">
        <f t="shared" si="1"/>
        <v>45521</v>
      </c>
      <c r="U7" s="6">
        <f t="shared" si="1"/>
        <v>45522</v>
      </c>
      <c r="V7" s="6">
        <f t="shared" si="1"/>
        <v>45523</v>
      </c>
      <c r="W7" s="6">
        <f t="shared" si="1"/>
        <v>45524</v>
      </c>
      <c r="X7" s="6">
        <f t="shared" si="1"/>
        <v>45525</v>
      </c>
      <c r="Y7" s="6">
        <f t="shared" si="1"/>
        <v>45526</v>
      </c>
      <c r="Z7" s="6">
        <f>IFERROR(IF(Y7+1&gt;$C$5,"",Y7+1),"")</f>
        <v>45527</v>
      </c>
      <c r="AA7" s="6">
        <f t="shared" si="1"/>
        <v>45528</v>
      </c>
      <c r="AB7" s="6">
        <f t="shared" si="1"/>
        <v>45529</v>
      </c>
      <c r="AC7" s="6">
        <f t="shared" si="1"/>
        <v>45530</v>
      </c>
      <c r="AD7" s="6">
        <f t="shared" si="1"/>
        <v>45531</v>
      </c>
      <c r="AE7" s="6">
        <f t="shared" si="1"/>
        <v>45532</v>
      </c>
      <c r="AF7" s="6">
        <f t="shared" si="1"/>
        <v>45533</v>
      </c>
      <c r="AG7" s="6">
        <f t="shared" si="1"/>
        <v>45534</v>
      </c>
      <c r="AH7" s="6">
        <f>IFERROR(IF(AG7+1&gt;$C$5,"",AG7+1),"")</f>
        <v>45535</v>
      </c>
      <c r="AI7" s="5"/>
      <c r="AJ7" s="300"/>
      <c r="AK7" s="300"/>
      <c r="AL7" s="301"/>
    </row>
    <row r="8" spans="1:38" ht="17.399999999999999" x14ac:dyDescent="0.3">
      <c r="B8" s="7">
        <v>3427</v>
      </c>
      <c r="C8" s="1" t="s">
        <v>4</v>
      </c>
      <c r="D8" s="8" t="s">
        <v>70</v>
      </c>
      <c r="E8" s="8" t="s">
        <v>70</v>
      </c>
      <c r="F8" s="8" t="s">
        <v>70</v>
      </c>
      <c r="G8" s="8"/>
      <c r="H8" s="8" t="s">
        <v>70</v>
      </c>
      <c r="I8" s="8" t="s">
        <v>70</v>
      </c>
      <c r="J8" s="8" t="s">
        <v>70</v>
      </c>
      <c r="K8" s="8" t="s">
        <v>70</v>
      </c>
      <c r="L8" s="8" t="s">
        <v>70</v>
      </c>
      <c r="M8" s="8" t="s">
        <v>70</v>
      </c>
      <c r="N8" s="8"/>
      <c r="O8" s="8" t="s">
        <v>70</v>
      </c>
      <c r="P8" s="8" t="s">
        <v>70</v>
      </c>
      <c r="Q8" s="8" t="s">
        <v>70</v>
      </c>
      <c r="R8" s="8" t="s">
        <v>70</v>
      </c>
      <c r="S8" s="8" t="s">
        <v>70</v>
      </c>
      <c r="T8" s="8" t="s">
        <v>70</v>
      </c>
      <c r="U8" s="8"/>
      <c r="V8" s="8" t="s">
        <v>70</v>
      </c>
      <c r="W8" s="8" t="s">
        <v>70</v>
      </c>
      <c r="X8" s="8" t="s">
        <v>70</v>
      </c>
      <c r="Y8" s="8" t="s">
        <v>70</v>
      </c>
      <c r="Z8" s="8" t="s">
        <v>70</v>
      </c>
      <c r="AA8" s="8" t="s">
        <v>70</v>
      </c>
      <c r="AB8" s="8"/>
      <c r="AC8" s="8" t="s">
        <v>70</v>
      </c>
      <c r="AD8" s="8" t="s">
        <v>70</v>
      </c>
      <c r="AE8" s="8" t="s">
        <v>70</v>
      </c>
      <c r="AF8" s="8" t="s">
        <v>70</v>
      </c>
      <c r="AG8" s="8" t="s">
        <v>70</v>
      </c>
      <c r="AH8" s="8" t="s">
        <v>70</v>
      </c>
      <c r="AI8" s="9"/>
      <c r="AJ8" s="8">
        <f>SUM(AK8,AL8)</f>
        <v>27</v>
      </c>
      <c r="AK8" s="8">
        <f>COUNTIF(D8:AH8,AK$6)</f>
        <v>27</v>
      </c>
      <c r="AL8" s="10">
        <f>COUNTIF(E8:AI8,AL$6)</f>
        <v>0</v>
      </c>
    </row>
    <row r="9" spans="1:38" ht="17.399999999999999" x14ac:dyDescent="0.3">
      <c r="B9" s="7">
        <v>3428</v>
      </c>
      <c r="C9" s="1" t="s">
        <v>5</v>
      </c>
      <c r="D9" s="8" t="s">
        <v>70</v>
      </c>
      <c r="E9" s="8" t="s">
        <v>70</v>
      </c>
      <c r="F9" s="8" t="s">
        <v>70</v>
      </c>
      <c r="G9" s="8"/>
      <c r="H9" s="8" t="s">
        <v>70</v>
      </c>
      <c r="I9" s="8" t="s">
        <v>70</v>
      </c>
      <c r="J9" s="8" t="s">
        <v>70</v>
      </c>
      <c r="K9" s="8" t="s">
        <v>70</v>
      </c>
      <c r="L9" s="8" t="s">
        <v>70</v>
      </c>
      <c r="M9" s="8" t="s">
        <v>70</v>
      </c>
      <c r="N9" s="8"/>
      <c r="O9" s="8" t="s">
        <v>70</v>
      </c>
      <c r="P9" s="8" t="s">
        <v>70</v>
      </c>
      <c r="Q9" s="8" t="s">
        <v>71</v>
      </c>
      <c r="R9" s="8" t="s">
        <v>70</v>
      </c>
      <c r="S9" s="8" t="s">
        <v>70</v>
      </c>
      <c r="T9" s="8" t="s">
        <v>70</v>
      </c>
      <c r="U9" s="8"/>
      <c r="V9" s="8" t="s">
        <v>70</v>
      </c>
      <c r="W9" s="8" t="s">
        <v>71</v>
      </c>
      <c r="X9" s="8" t="s">
        <v>70</v>
      </c>
      <c r="Y9" s="8" t="s">
        <v>70</v>
      </c>
      <c r="Z9" s="8" t="s">
        <v>70</v>
      </c>
      <c r="AA9" s="8" t="s">
        <v>70</v>
      </c>
      <c r="AB9" s="8"/>
      <c r="AC9" s="8" t="s">
        <v>70</v>
      </c>
      <c r="AD9" s="8" t="s">
        <v>70</v>
      </c>
      <c r="AE9" s="8" t="s">
        <v>70</v>
      </c>
      <c r="AF9" s="8" t="s">
        <v>70</v>
      </c>
      <c r="AG9" s="8" t="s">
        <v>70</v>
      </c>
      <c r="AH9" s="8" t="s">
        <v>70</v>
      </c>
      <c r="AI9" s="9"/>
      <c r="AJ9" s="8">
        <f t="shared" ref="AJ9:AJ27" si="2">SUM(AK9,AL9)</f>
        <v>27</v>
      </c>
      <c r="AK9" s="8">
        <f t="shared" ref="AK9:AL27" si="3">COUNTIF(D9:AH9,AK$6)</f>
        <v>25</v>
      </c>
      <c r="AL9" s="10">
        <f t="shared" si="3"/>
        <v>2</v>
      </c>
    </row>
    <row r="10" spans="1:38" ht="17.399999999999999" x14ac:dyDescent="0.3">
      <c r="B10" s="7">
        <v>3429</v>
      </c>
      <c r="C10" s="1" t="s">
        <v>6</v>
      </c>
      <c r="D10" s="8" t="s">
        <v>70</v>
      </c>
      <c r="E10" s="8" t="s">
        <v>70</v>
      </c>
      <c r="F10" s="8" t="s">
        <v>70</v>
      </c>
      <c r="G10" s="8"/>
      <c r="H10" s="8" t="s">
        <v>70</v>
      </c>
      <c r="I10" s="8" t="s">
        <v>70</v>
      </c>
      <c r="J10" s="8" t="s">
        <v>70</v>
      </c>
      <c r="K10" s="8" t="s">
        <v>70</v>
      </c>
      <c r="L10" s="8" t="s">
        <v>70</v>
      </c>
      <c r="M10" s="8" t="s">
        <v>70</v>
      </c>
      <c r="N10" s="8"/>
      <c r="O10" s="8" t="s">
        <v>70</v>
      </c>
      <c r="P10" s="8" t="s">
        <v>70</v>
      </c>
      <c r="Q10" s="8" t="s">
        <v>70</v>
      </c>
      <c r="R10" s="8" t="s">
        <v>70</v>
      </c>
      <c r="S10" s="8" t="s">
        <v>70</v>
      </c>
      <c r="T10" s="8" t="s">
        <v>70</v>
      </c>
      <c r="U10" s="8"/>
      <c r="V10" s="8" t="s">
        <v>70</v>
      </c>
      <c r="W10" s="8" t="s">
        <v>70</v>
      </c>
      <c r="X10" s="8" t="s">
        <v>70</v>
      </c>
      <c r="Y10" s="8" t="s">
        <v>70</v>
      </c>
      <c r="Z10" s="8" t="s">
        <v>70</v>
      </c>
      <c r="AA10" s="8" t="s">
        <v>70</v>
      </c>
      <c r="AB10" s="8"/>
      <c r="AC10" s="8" t="s">
        <v>70</v>
      </c>
      <c r="AD10" s="8" t="s">
        <v>70</v>
      </c>
      <c r="AE10" s="8" t="s">
        <v>70</v>
      </c>
      <c r="AF10" s="8" t="s">
        <v>70</v>
      </c>
      <c r="AG10" s="8" t="s">
        <v>70</v>
      </c>
      <c r="AH10" s="8" t="s">
        <v>70</v>
      </c>
      <c r="AI10" s="9"/>
      <c r="AJ10" s="8">
        <f t="shared" si="2"/>
        <v>27</v>
      </c>
      <c r="AK10" s="8">
        <f t="shared" si="3"/>
        <v>27</v>
      </c>
      <c r="AL10" s="10">
        <f t="shared" si="3"/>
        <v>0</v>
      </c>
    </row>
    <row r="11" spans="1:38" ht="17.399999999999999" x14ac:dyDescent="0.3">
      <c r="B11" s="7">
        <v>3430</v>
      </c>
      <c r="C11" s="1" t="s">
        <v>7</v>
      </c>
      <c r="D11" s="8" t="s">
        <v>70</v>
      </c>
      <c r="E11" s="8" t="s">
        <v>70</v>
      </c>
      <c r="F11" s="8" t="s">
        <v>70</v>
      </c>
      <c r="G11" s="8"/>
      <c r="H11" s="8" t="s">
        <v>70</v>
      </c>
      <c r="I11" s="8" t="s">
        <v>70</v>
      </c>
      <c r="J11" s="8" t="s">
        <v>70</v>
      </c>
      <c r="K11" s="8" t="s">
        <v>70</v>
      </c>
      <c r="L11" s="8" t="s">
        <v>70</v>
      </c>
      <c r="M11" s="8" t="s">
        <v>70</v>
      </c>
      <c r="N11" s="8"/>
      <c r="O11" s="8" t="s">
        <v>70</v>
      </c>
      <c r="P11" s="8" t="s">
        <v>70</v>
      </c>
      <c r="Q11" s="8" t="s">
        <v>70</v>
      </c>
      <c r="R11" s="8" t="s">
        <v>70</v>
      </c>
      <c r="S11" s="8" t="s">
        <v>70</v>
      </c>
      <c r="T11" s="8" t="s">
        <v>70</v>
      </c>
      <c r="U11" s="8"/>
      <c r="V11" s="8" t="s">
        <v>70</v>
      </c>
      <c r="W11" s="8" t="s">
        <v>70</v>
      </c>
      <c r="X11" s="8" t="s">
        <v>70</v>
      </c>
      <c r="Y11" s="8" t="s">
        <v>70</v>
      </c>
      <c r="Z11" s="8" t="s">
        <v>70</v>
      </c>
      <c r="AA11" s="8" t="s">
        <v>70</v>
      </c>
      <c r="AB11" s="8"/>
      <c r="AC11" s="8" t="s">
        <v>70</v>
      </c>
      <c r="AD11" s="8" t="s">
        <v>70</v>
      </c>
      <c r="AE11" s="8" t="s">
        <v>70</v>
      </c>
      <c r="AF11" s="8" t="s">
        <v>70</v>
      </c>
      <c r="AG11" s="8" t="s">
        <v>70</v>
      </c>
      <c r="AH11" s="8" t="s">
        <v>70</v>
      </c>
      <c r="AI11" s="9"/>
      <c r="AJ11" s="8">
        <f t="shared" si="2"/>
        <v>27</v>
      </c>
      <c r="AK11" s="8">
        <f t="shared" si="3"/>
        <v>27</v>
      </c>
      <c r="AL11" s="10">
        <f t="shared" si="3"/>
        <v>0</v>
      </c>
    </row>
    <row r="12" spans="1:38" ht="17.399999999999999" x14ac:dyDescent="0.3">
      <c r="B12" s="7">
        <v>3431</v>
      </c>
      <c r="C12" s="1" t="s">
        <v>8</v>
      </c>
      <c r="D12" s="8" t="s">
        <v>70</v>
      </c>
      <c r="E12" s="8" t="s">
        <v>70</v>
      </c>
      <c r="F12" s="8" t="s">
        <v>70</v>
      </c>
      <c r="G12" s="8"/>
      <c r="H12" s="8" t="s">
        <v>70</v>
      </c>
      <c r="I12" s="8" t="s">
        <v>70</v>
      </c>
      <c r="J12" s="8" t="s">
        <v>70</v>
      </c>
      <c r="K12" s="8" t="s">
        <v>70</v>
      </c>
      <c r="L12" s="8" t="s">
        <v>70</v>
      </c>
      <c r="M12" s="8" t="s">
        <v>70</v>
      </c>
      <c r="N12" s="8"/>
      <c r="O12" s="8" t="s">
        <v>70</v>
      </c>
      <c r="P12" s="8" t="s">
        <v>70</v>
      </c>
      <c r="Q12" s="8" t="s">
        <v>70</v>
      </c>
      <c r="R12" s="8" t="s">
        <v>70</v>
      </c>
      <c r="S12" s="8" t="s">
        <v>70</v>
      </c>
      <c r="T12" s="8" t="s">
        <v>70</v>
      </c>
      <c r="U12" s="8"/>
      <c r="V12" s="8" t="s">
        <v>70</v>
      </c>
      <c r="W12" s="8" t="s">
        <v>70</v>
      </c>
      <c r="X12" s="8" t="s">
        <v>70</v>
      </c>
      <c r="Y12" s="8" t="s">
        <v>70</v>
      </c>
      <c r="Z12" s="8" t="s">
        <v>70</v>
      </c>
      <c r="AA12" s="8" t="s">
        <v>70</v>
      </c>
      <c r="AB12" s="8"/>
      <c r="AC12" s="8" t="s">
        <v>70</v>
      </c>
      <c r="AD12" s="8" t="s">
        <v>70</v>
      </c>
      <c r="AE12" s="8" t="s">
        <v>71</v>
      </c>
      <c r="AF12" s="8" t="s">
        <v>70</v>
      </c>
      <c r="AG12" s="8" t="s">
        <v>70</v>
      </c>
      <c r="AH12" s="8" t="s">
        <v>70</v>
      </c>
      <c r="AI12" s="9"/>
      <c r="AJ12" s="8">
        <f t="shared" si="2"/>
        <v>27</v>
      </c>
      <c r="AK12" s="8">
        <f t="shared" si="3"/>
        <v>26</v>
      </c>
      <c r="AL12" s="10">
        <f t="shared" si="3"/>
        <v>1</v>
      </c>
    </row>
    <row r="13" spans="1:38" ht="17.399999999999999" x14ac:dyDescent="0.3">
      <c r="B13" s="7">
        <v>3432</v>
      </c>
      <c r="C13" s="1" t="s">
        <v>9</v>
      </c>
      <c r="D13" s="8" t="s">
        <v>70</v>
      </c>
      <c r="E13" s="8" t="s">
        <v>70</v>
      </c>
      <c r="F13" s="8" t="s">
        <v>70</v>
      </c>
      <c r="G13" s="8"/>
      <c r="H13" s="8" t="s">
        <v>70</v>
      </c>
      <c r="I13" s="8" t="s">
        <v>70</v>
      </c>
      <c r="J13" s="8" t="s">
        <v>70</v>
      </c>
      <c r="K13" s="8" t="s">
        <v>71</v>
      </c>
      <c r="L13" s="8" t="s">
        <v>70</v>
      </c>
      <c r="M13" s="8" t="s">
        <v>70</v>
      </c>
      <c r="N13" s="8"/>
      <c r="O13" s="8" t="s">
        <v>70</v>
      </c>
      <c r="P13" s="8" t="s">
        <v>70</v>
      </c>
      <c r="Q13" s="8" t="s">
        <v>70</v>
      </c>
      <c r="R13" s="8" t="s">
        <v>70</v>
      </c>
      <c r="S13" s="8" t="s">
        <v>70</v>
      </c>
      <c r="T13" s="8" t="s">
        <v>70</v>
      </c>
      <c r="U13" s="8"/>
      <c r="V13" s="8" t="s">
        <v>70</v>
      </c>
      <c r="W13" s="8" t="s">
        <v>70</v>
      </c>
      <c r="X13" s="8" t="s">
        <v>70</v>
      </c>
      <c r="Y13" s="8" t="s">
        <v>70</v>
      </c>
      <c r="Z13" s="8" t="s">
        <v>70</v>
      </c>
      <c r="AA13" s="8" t="s">
        <v>70</v>
      </c>
      <c r="AB13" s="8"/>
      <c r="AC13" s="8" t="s">
        <v>70</v>
      </c>
      <c r="AD13" s="8" t="s">
        <v>70</v>
      </c>
      <c r="AE13" s="8" t="s">
        <v>70</v>
      </c>
      <c r="AF13" s="8" t="s">
        <v>70</v>
      </c>
      <c r="AG13" s="8" t="s">
        <v>70</v>
      </c>
      <c r="AH13" s="8" t="s">
        <v>70</v>
      </c>
      <c r="AI13" s="9"/>
      <c r="AJ13" s="8">
        <f t="shared" si="2"/>
        <v>27</v>
      </c>
      <c r="AK13" s="8">
        <f t="shared" si="3"/>
        <v>26</v>
      </c>
      <c r="AL13" s="10">
        <f t="shared" si="3"/>
        <v>1</v>
      </c>
    </row>
    <row r="14" spans="1:38" ht="17.399999999999999" x14ac:dyDescent="0.3">
      <c r="B14" s="7">
        <v>3433</v>
      </c>
      <c r="C14" s="1" t="s">
        <v>10</v>
      </c>
      <c r="D14" s="8" t="s">
        <v>70</v>
      </c>
      <c r="E14" s="8" t="s">
        <v>70</v>
      </c>
      <c r="F14" s="8" t="s">
        <v>70</v>
      </c>
      <c r="G14" s="8"/>
      <c r="H14" s="8" t="s">
        <v>70</v>
      </c>
      <c r="I14" s="8" t="s">
        <v>70</v>
      </c>
      <c r="J14" s="8" t="s">
        <v>70</v>
      </c>
      <c r="K14" s="8" t="s">
        <v>70</v>
      </c>
      <c r="L14" s="8" t="s">
        <v>70</v>
      </c>
      <c r="M14" s="8" t="s">
        <v>70</v>
      </c>
      <c r="N14" s="8"/>
      <c r="O14" s="8" t="s">
        <v>70</v>
      </c>
      <c r="P14" s="8" t="s">
        <v>70</v>
      </c>
      <c r="Q14" s="8" t="s">
        <v>70</v>
      </c>
      <c r="R14" s="8" t="s">
        <v>70</v>
      </c>
      <c r="S14" s="8" t="s">
        <v>70</v>
      </c>
      <c r="T14" s="8" t="s">
        <v>70</v>
      </c>
      <c r="U14" s="8"/>
      <c r="V14" s="8" t="s">
        <v>70</v>
      </c>
      <c r="W14" s="8" t="s">
        <v>70</v>
      </c>
      <c r="X14" s="8" t="s">
        <v>70</v>
      </c>
      <c r="Y14" s="8" t="s">
        <v>70</v>
      </c>
      <c r="Z14" s="8" t="s">
        <v>70</v>
      </c>
      <c r="AA14" s="8" t="s">
        <v>70</v>
      </c>
      <c r="AB14" s="8"/>
      <c r="AC14" s="8" t="s">
        <v>70</v>
      </c>
      <c r="AD14" s="8" t="s">
        <v>70</v>
      </c>
      <c r="AE14" s="8" t="s">
        <v>70</v>
      </c>
      <c r="AF14" s="8" t="s">
        <v>70</v>
      </c>
      <c r="AG14" s="8" t="s">
        <v>70</v>
      </c>
      <c r="AH14" s="8" t="s">
        <v>71</v>
      </c>
      <c r="AI14" s="9"/>
      <c r="AJ14" s="8">
        <f t="shared" si="2"/>
        <v>27</v>
      </c>
      <c r="AK14" s="8">
        <f t="shared" si="3"/>
        <v>26</v>
      </c>
      <c r="AL14" s="10">
        <f t="shared" si="3"/>
        <v>1</v>
      </c>
    </row>
    <row r="15" spans="1:38" ht="17.399999999999999" x14ac:dyDescent="0.3">
      <c r="B15" s="7">
        <v>3434</v>
      </c>
      <c r="C15" s="1" t="s">
        <v>11</v>
      </c>
      <c r="D15" s="8" t="s">
        <v>70</v>
      </c>
      <c r="E15" s="8" t="s">
        <v>70</v>
      </c>
      <c r="F15" s="8" t="s">
        <v>70</v>
      </c>
      <c r="G15" s="8"/>
      <c r="H15" s="8" t="s">
        <v>70</v>
      </c>
      <c r="I15" s="8" t="s">
        <v>70</v>
      </c>
      <c r="J15" s="8" t="s">
        <v>70</v>
      </c>
      <c r="K15" s="8" t="s">
        <v>70</v>
      </c>
      <c r="L15" s="8" t="s">
        <v>70</v>
      </c>
      <c r="M15" s="8" t="s">
        <v>70</v>
      </c>
      <c r="N15" s="8"/>
      <c r="O15" s="8" t="s">
        <v>70</v>
      </c>
      <c r="P15" s="8" t="s">
        <v>70</v>
      </c>
      <c r="Q15" s="8" t="s">
        <v>71</v>
      </c>
      <c r="R15" s="8" t="s">
        <v>70</v>
      </c>
      <c r="S15" s="8" t="s">
        <v>70</v>
      </c>
      <c r="T15" s="8" t="s">
        <v>70</v>
      </c>
      <c r="U15" s="8"/>
      <c r="V15" s="8" t="s">
        <v>70</v>
      </c>
      <c r="W15" s="8" t="s">
        <v>70</v>
      </c>
      <c r="X15" s="8" t="s">
        <v>70</v>
      </c>
      <c r="Y15" s="8" t="s">
        <v>70</v>
      </c>
      <c r="Z15" s="8" t="s">
        <v>70</v>
      </c>
      <c r="AA15" s="8" t="s">
        <v>70</v>
      </c>
      <c r="AB15" s="8"/>
      <c r="AC15" s="8" t="s">
        <v>70</v>
      </c>
      <c r="AD15" s="8" t="s">
        <v>70</v>
      </c>
      <c r="AE15" s="8" t="s">
        <v>70</v>
      </c>
      <c r="AF15" s="8" t="s">
        <v>70</v>
      </c>
      <c r="AG15" s="8" t="s">
        <v>70</v>
      </c>
      <c r="AH15" s="8" t="s">
        <v>70</v>
      </c>
      <c r="AI15" s="9"/>
      <c r="AJ15" s="8">
        <f t="shared" si="2"/>
        <v>27</v>
      </c>
      <c r="AK15" s="8">
        <f t="shared" si="3"/>
        <v>26</v>
      </c>
      <c r="AL15" s="10">
        <f t="shared" si="3"/>
        <v>1</v>
      </c>
    </row>
    <row r="16" spans="1:38" ht="17.399999999999999" x14ac:dyDescent="0.3">
      <c r="B16" s="7">
        <v>3435</v>
      </c>
      <c r="C16" s="1" t="s">
        <v>12</v>
      </c>
      <c r="D16" s="8" t="s">
        <v>70</v>
      </c>
      <c r="E16" s="8" t="s">
        <v>70</v>
      </c>
      <c r="F16" s="8" t="s">
        <v>70</v>
      </c>
      <c r="G16" s="8"/>
      <c r="H16" s="8" t="s">
        <v>70</v>
      </c>
      <c r="I16" s="8" t="s">
        <v>70</v>
      </c>
      <c r="J16" s="8" t="s">
        <v>70</v>
      </c>
      <c r="K16" s="8" t="s">
        <v>70</v>
      </c>
      <c r="L16" s="8" t="s">
        <v>70</v>
      </c>
      <c r="M16" s="8" t="s">
        <v>70</v>
      </c>
      <c r="N16" s="8"/>
      <c r="O16" s="8" t="s">
        <v>70</v>
      </c>
      <c r="P16" s="8" t="s">
        <v>70</v>
      </c>
      <c r="Q16" s="8" t="s">
        <v>70</v>
      </c>
      <c r="R16" s="8" t="s">
        <v>70</v>
      </c>
      <c r="S16" s="8" t="s">
        <v>70</v>
      </c>
      <c r="T16" s="8" t="s">
        <v>70</v>
      </c>
      <c r="U16" s="8"/>
      <c r="V16" s="8" t="s">
        <v>70</v>
      </c>
      <c r="W16" s="8" t="s">
        <v>70</v>
      </c>
      <c r="X16" s="8" t="s">
        <v>70</v>
      </c>
      <c r="Y16" s="8" t="s">
        <v>70</v>
      </c>
      <c r="Z16" s="8" t="s">
        <v>70</v>
      </c>
      <c r="AA16" s="8" t="s">
        <v>70</v>
      </c>
      <c r="AB16" s="8"/>
      <c r="AC16" s="8" t="s">
        <v>70</v>
      </c>
      <c r="AD16" s="8" t="s">
        <v>70</v>
      </c>
      <c r="AE16" s="8" t="s">
        <v>70</v>
      </c>
      <c r="AF16" s="8" t="s">
        <v>70</v>
      </c>
      <c r="AG16" s="8" t="s">
        <v>70</v>
      </c>
      <c r="AH16" s="8" t="s">
        <v>70</v>
      </c>
      <c r="AI16" s="9"/>
      <c r="AJ16" s="8">
        <f t="shared" si="2"/>
        <v>27</v>
      </c>
      <c r="AK16" s="8">
        <f t="shared" si="3"/>
        <v>27</v>
      </c>
      <c r="AL16" s="10">
        <f t="shared" si="3"/>
        <v>0</v>
      </c>
    </row>
    <row r="17" spans="2:38" ht="17.399999999999999" x14ac:dyDescent="0.3">
      <c r="B17" s="7">
        <v>3436</v>
      </c>
      <c r="C17" s="1" t="s">
        <v>13</v>
      </c>
      <c r="D17" s="8" t="s">
        <v>70</v>
      </c>
      <c r="E17" s="8" t="s">
        <v>70</v>
      </c>
      <c r="F17" s="8" t="s">
        <v>70</v>
      </c>
      <c r="G17" s="8"/>
      <c r="H17" s="8" t="s">
        <v>70</v>
      </c>
      <c r="I17" s="8" t="s">
        <v>70</v>
      </c>
      <c r="J17" s="8" t="s">
        <v>71</v>
      </c>
      <c r="K17" s="8" t="s">
        <v>70</v>
      </c>
      <c r="L17" s="8" t="s">
        <v>70</v>
      </c>
      <c r="M17" s="8" t="s">
        <v>70</v>
      </c>
      <c r="N17" s="8"/>
      <c r="O17" s="8" t="s">
        <v>70</v>
      </c>
      <c r="P17" s="8" t="s">
        <v>70</v>
      </c>
      <c r="Q17" s="8" t="s">
        <v>70</v>
      </c>
      <c r="R17" s="8" t="s">
        <v>70</v>
      </c>
      <c r="S17" s="8" t="s">
        <v>71</v>
      </c>
      <c r="T17" s="8" t="s">
        <v>70</v>
      </c>
      <c r="U17" s="8"/>
      <c r="V17" s="8" t="s">
        <v>70</v>
      </c>
      <c r="W17" s="8" t="s">
        <v>70</v>
      </c>
      <c r="X17" s="8" t="s">
        <v>70</v>
      </c>
      <c r="Y17" s="8" t="s">
        <v>70</v>
      </c>
      <c r="Z17" s="8" t="s">
        <v>70</v>
      </c>
      <c r="AA17" s="8" t="s">
        <v>70</v>
      </c>
      <c r="AB17" s="8"/>
      <c r="AC17" s="8" t="s">
        <v>70</v>
      </c>
      <c r="AD17" s="8" t="s">
        <v>70</v>
      </c>
      <c r="AE17" s="8" t="s">
        <v>70</v>
      </c>
      <c r="AF17" s="8" t="s">
        <v>70</v>
      </c>
      <c r="AG17" s="8" t="s">
        <v>70</v>
      </c>
      <c r="AH17" s="8" t="s">
        <v>70</v>
      </c>
      <c r="AI17" s="9"/>
      <c r="AJ17" s="8">
        <f t="shared" si="2"/>
        <v>27</v>
      </c>
      <c r="AK17" s="8">
        <f t="shared" si="3"/>
        <v>25</v>
      </c>
      <c r="AL17" s="10">
        <f t="shared" si="3"/>
        <v>2</v>
      </c>
    </row>
    <row r="18" spans="2:38" ht="17.399999999999999" x14ac:dyDescent="0.3">
      <c r="B18" s="7">
        <v>3437</v>
      </c>
      <c r="C18" s="1" t="s">
        <v>14</v>
      </c>
      <c r="D18" s="8" t="s">
        <v>70</v>
      </c>
      <c r="E18" s="8" t="s">
        <v>70</v>
      </c>
      <c r="F18" s="8" t="s">
        <v>70</v>
      </c>
      <c r="G18" s="8"/>
      <c r="H18" s="8" t="s">
        <v>70</v>
      </c>
      <c r="I18" s="8" t="s">
        <v>70</v>
      </c>
      <c r="J18" s="8" t="s">
        <v>70</v>
      </c>
      <c r="K18" s="8" t="s">
        <v>70</v>
      </c>
      <c r="L18" s="8" t="s">
        <v>70</v>
      </c>
      <c r="M18" s="8" t="s">
        <v>70</v>
      </c>
      <c r="N18" s="8"/>
      <c r="O18" s="8" t="s">
        <v>70</v>
      </c>
      <c r="P18" s="8" t="s">
        <v>70</v>
      </c>
      <c r="Q18" s="8" t="s">
        <v>70</v>
      </c>
      <c r="R18" s="8" t="s">
        <v>70</v>
      </c>
      <c r="S18" s="8" t="s">
        <v>70</v>
      </c>
      <c r="T18" s="8" t="s">
        <v>70</v>
      </c>
      <c r="U18" s="8"/>
      <c r="V18" s="8" t="s">
        <v>70</v>
      </c>
      <c r="W18" s="8" t="s">
        <v>70</v>
      </c>
      <c r="X18" s="8" t="s">
        <v>70</v>
      </c>
      <c r="Y18" s="8" t="s">
        <v>71</v>
      </c>
      <c r="Z18" s="8" t="s">
        <v>70</v>
      </c>
      <c r="AA18" s="8" t="s">
        <v>70</v>
      </c>
      <c r="AB18" s="8"/>
      <c r="AC18" s="8" t="s">
        <v>70</v>
      </c>
      <c r="AD18" s="8" t="s">
        <v>71</v>
      </c>
      <c r="AE18" s="8" t="s">
        <v>70</v>
      </c>
      <c r="AF18" s="8" t="s">
        <v>70</v>
      </c>
      <c r="AG18" s="8" t="s">
        <v>70</v>
      </c>
      <c r="AH18" s="8" t="s">
        <v>70</v>
      </c>
      <c r="AI18" s="9"/>
      <c r="AJ18" s="8">
        <f t="shared" si="2"/>
        <v>27</v>
      </c>
      <c r="AK18" s="8">
        <f t="shared" si="3"/>
        <v>25</v>
      </c>
      <c r="AL18" s="10">
        <f t="shared" si="3"/>
        <v>2</v>
      </c>
    </row>
    <row r="19" spans="2:38" ht="17.399999999999999" x14ac:dyDescent="0.3">
      <c r="B19" s="7">
        <v>3438</v>
      </c>
      <c r="C19" s="1" t="s">
        <v>15</v>
      </c>
      <c r="D19" s="8" t="s">
        <v>70</v>
      </c>
      <c r="E19" s="8" t="s">
        <v>70</v>
      </c>
      <c r="F19" s="8" t="s">
        <v>70</v>
      </c>
      <c r="G19" s="8"/>
      <c r="H19" s="8" t="s">
        <v>70</v>
      </c>
      <c r="I19" s="8" t="s">
        <v>70</v>
      </c>
      <c r="J19" s="8" t="s">
        <v>70</v>
      </c>
      <c r="K19" s="8" t="s">
        <v>70</v>
      </c>
      <c r="L19" s="8" t="s">
        <v>70</v>
      </c>
      <c r="M19" s="8" t="s">
        <v>70</v>
      </c>
      <c r="N19" s="8"/>
      <c r="O19" s="8" t="s">
        <v>70</v>
      </c>
      <c r="P19" s="8" t="s">
        <v>70</v>
      </c>
      <c r="Q19" s="8" t="s">
        <v>70</v>
      </c>
      <c r="R19" s="8" t="s">
        <v>70</v>
      </c>
      <c r="S19" s="8" t="s">
        <v>70</v>
      </c>
      <c r="T19" s="8" t="s">
        <v>70</v>
      </c>
      <c r="U19" s="8"/>
      <c r="V19" s="8" t="s">
        <v>70</v>
      </c>
      <c r="W19" s="8" t="s">
        <v>70</v>
      </c>
      <c r="X19" s="8" t="s">
        <v>70</v>
      </c>
      <c r="Y19" s="8" t="s">
        <v>70</v>
      </c>
      <c r="Z19" s="8" t="s">
        <v>70</v>
      </c>
      <c r="AA19" s="8" t="s">
        <v>70</v>
      </c>
      <c r="AB19" s="8"/>
      <c r="AC19" s="8" t="s">
        <v>70</v>
      </c>
      <c r="AD19" s="8" t="s">
        <v>70</v>
      </c>
      <c r="AE19" s="8" t="s">
        <v>70</v>
      </c>
      <c r="AF19" s="8" t="s">
        <v>70</v>
      </c>
      <c r="AG19" s="8" t="s">
        <v>70</v>
      </c>
      <c r="AH19" s="8" t="s">
        <v>70</v>
      </c>
      <c r="AI19" s="9"/>
      <c r="AJ19" s="8">
        <f t="shared" si="2"/>
        <v>27</v>
      </c>
      <c r="AK19" s="8">
        <f t="shared" si="3"/>
        <v>27</v>
      </c>
      <c r="AL19" s="10">
        <f t="shared" si="3"/>
        <v>0</v>
      </c>
    </row>
    <row r="20" spans="2:38" ht="17.399999999999999" x14ac:dyDescent="0.3">
      <c r="B20" s="7">
        <v>3439</v>
      </c>
      <c r="C20" s="1" t="s">
        <v>16</v>
      </c>
      <c r="D20" s="8" t="s">
        <v>70</v>
      </c>
      <c r="E20" s="8" t="s">
        <v>70</v>
      </c>
      <c r="F20" s="8" t="s">
        <v>70</v>
      </c>
      <c r="G20" s="8"/>
      <c r="H20" s="8" t="s">
        <v>70</v>
      </c>
      <c r="I20" s="8" t="s">
        <v>70</v>
      </c>
      <c r="J20" s="8" t="s">
        <v>70</v>
      </c>
      <c r="K20" s="8" t="s">
        <v>70</v>
      </c>
      <c r="L20" s="8" t="s">
        <v>70</v>
      </c>
      <c r="M20" s="8" t="s">
        <v>70</v>
      </c>
      <c r="N20" s="8"/>
      <c r="O20" s="8" t="s">
        <v>70</v>
      </c>
      <c r="P20" s="8" t="s">
        <v>70</v>
      </c>
      <c r="Q20" s="8" t="s">
        <v>70</v>
      </c>
      <c r="R20" s="8" t="s">
        <v>70</v>
      </c>
      <c r="S20" s="8" t="s">
        <v>70</v>
      </c>
      <c r="T20" s="8" t="s">
        <v>70</v>
      </c>
      <c r="U20" s="8"/>
      <c r="V20" s="8" t="s">
        <v>70</v>
      </c>
      <c r="W20" s="8" t="s">
        <v>70</v>
      </c>
      <c r="X20" s="8" t="s">
        <v>70</v>
      </c>
      <c r="Y20" s="8" t="s">
        <v>70</v>
      </c>
      <c r="Z20" s="8" t="s">
        <v>70</v>
      </c>
      <c r="AA20" s="8" t="s">
        <v>70</v>
      </c>
      <c r="AB20" s="8"/>
      <c r="AC20" s="8" t="s">
        <v>70</v>
      </c>
      <c r="AD20" s="8" t="s">
        <v>70</v>
      </c>
      <c r="AE20" s="8" t="s">
        <v>70</v>
      </c>
      <c r="AF20" s="8" t="s">
        <v>70</v>
      </c>
      <c r="AG20" s="8" t="s">
        <v>70</v>
      </c>
      <c r="AH20" s="8" t="s">
        <v>70</v>
      </c>
      <c r="AI20" s="9"/>
      <c r="AJ20" s="8">
        <f t="shared" si="2"/>
        <v>27</v>
      </c>
      <c r="AK20" s="8">
        <f t="shared" si="3"/>
        <v>27</v>
      </c>
      <c r="AL20" s="10">
        <f t="shared" si="3"/>
        <v>0</v>
      </c>
    </row>
    <row r="21" spans="2:38" ht="17.399999999999999" x14ac:dyDescent="0.3">
      <c r="B21" s="7">
        <v>3440</v>
      </c>
      <c r="C21" s="1" t="s">
        <v>17</v>
      </c>
      <c r="D21" s="8" t="s">
        <v>70</v>
      </c>
      <c r="E21" s="8" t="s">
        <v>70</v>
      </c>
      <c r="F21" s="8" t="s">
        <v>70</v>
      </c>
      <c r="G21" s="8"/>
      <c r="H21" s="8" t="s">
        <v>70</v>
      </c>
      <c r="I21" s="8" t="s">
        <v>70</v>
      </c>
      <c r="J21" s="8" t="s">
        <v>70</v>
      </c>
      <c r="K21" s="8" t="s">
        <v>70</v>
      </c>
      <c r="L21" s="8" t="s">
        <v>70</v>
      </c>
      <c r="M21" s="8" t="s">
        <v>70</v>
      </c>
      <c r="N21" s="8"/>
      <c r="O21" s="8" t="s">
        <v>70</v>
      </c>
      <c r="P21" s="8" t="s">
        <v>70</v>
      </c>
      <c r="Q21" s="8" t="s">
        <v>70</v>
      </c>
      <c r="R21" s="8" t="s">
        <v>70</v>
      </c>
      <c r="S21" s="8" t="s">
        <v>70</v>
      </c>
      <c r="T21" s="8" t="s">
        <v>70</v>
      </c>
      <c r="U21" s="8"/>
      <c r="V21" s="8" t="s">
        <v>70</v>
      </c>
      <c r="W21" s="8" t="s">
        <v>70</v>
      </c>
      <c r="X21" s="8" t="s">
        <v>70</v>
      </c>
      <c r="Y21" s="8" t="s">
        <v>70</v>
      </c>
      <c r="Z21" s="8" t="s">
        <v>70</v>
      </c>
      <c r="AA21" s="8" t="s">
        <v>70</v>
      </c>
      <c r="AB21" s="8"/>
      <c r="AC21" s="8" t="s">
        <v>70</v>
      </c>
      <c r="AD21" s="8" t="s">
        <v>70</v>
      </c>
      <c r="AE21" s="8" t="s">
        <v>70</v>
      </c>
      <c r="AF21" s="8" t="s">
        <v>70</v>
      </c>
      <c r="AG21" s="8" t="s">
        <v>70</v>
      </c>
      <c r="AH21" s="8" t="s">
        <v>70</v>
      </c>
      <c r="AI21" s="9"/>
      <c r="AJ21" s="8">
        <f t="shared" si="2"/>
        <v>27</v>
      </c>
      <c r="AK21" s="8">
        <f t="shared" si="3"/>
        <v>27</v>
      </c>
      <c r="AL21" s="10">
        <f t="shared" si="3"/>
        <v>0</v>
      </c>
    </row>
    <row r="22" spans="2:38" ht="17.399999999999999" x14ac:dyDescent="0.3">
      <c r="B22" s="7">
        <v>3441</v>
      </c>
      <c r="C22" s="1" t="s">
        <v>18</v>
      </c>
      <c r="D22" s="8" t="s">
        <v>70</v>
      </c>
      <c r="E22" s="8" t="s">
        <v>70</v>
      </c>
      <c r="F22" s="8" t="s">
        <v>70</v>
      </c>
      <c r="G22" s="8"/>
      <c r="H22" s="8" t="s">
        <v>70</v>
      </c>
      <c r="I22" s="8" t="s">
        <v>70</v>
      </c>
      <c r="J22" s="8" t="s">
        <v>70</v>
      </c>
      <c r="K22" s="8" t="s">
        <v>70</v>
      </c>
      <c r="L22" s="8" t="s">
        <v>70</v>
      </c>
      <c r="M22" s="8" t="s">
        <v>70</v>
      </c>
      <c r="N22" s="8"/>
      <c r="O22" s="8" t="s">
        <v>70</v>
      </c>
      <c r="P22" s="8" t="s">
        <v>70</v>
      </c>
      <c r="Q22" s="8" t="s">
        <v>71</v>
      </c>
      <c r="R22" s="8" t="s">
        <v>70</v>
      </c>
      <c r="S22" s="8" t="s">
        <v>70</v>
      </c>
      <c r="T22" s="8" t="s">
        <v>70</v>
      </c>
      <c r="U22" s="8"/>
      <c r="V22" s="8" t="s">
        <v>70</v>
      </c>
      <c r="W22" s="8" t="s">
        <v>70</v>
      </c>
      <c r="X22" s="8" t="s">
        <v>70</v>
      </c>
      <c r="Y22" s="8" t="s">
        <v>70</v>
      </c>
      <c r="Z22" s="8" t="s">
        <v>70</v>
      </c>
      <c r="AA22" s="8" t="s">
        <v>70</v>
      </c>
      <c r="AB22" s="8"/>
      <c r="AC22" s="8" t="s">
        <v>70</v>
      </c>
      <c r="AD22" s="8" t="s">
        <v>70</v>
      </c>
      <c r="AE22" s="8" t="s">
        <v>70</v>
      </c>
      <c r="AF22" s="8" t="s">
        <v>70</v>
      </c>
      <c r="AG22" s="8" t="s">
        <v>70</v>
      </c>
      <c r="AH22" s="8" t="s">
        <v>70</v>
      </c>
      <c r="AI22" s="9"/>
      <c r="AJ22" s="8">
        <f t="shared" si="2"/>
        <v>27</v>
      </c>
      <c r="AK22" s="8">
        <f t="shared" si="3"/>
        <v>26</v>
      </c>
      <c r="AL22" s="10">
        <f t="shared" si="3"/>
        <v>1</v>
      </c>
    </row>
    <row r="23" spans="2:38" ht="17.399999999999999" x14ac:dyDescent="0.3">
      <c r="B23" s="7">
        <v>3442</v>
      </c>
      <c r="C23" s="1" t="s">
        <v>19</v>
      </c>
      <c r="D23" s="8" t="s">
        <v>70</v>
      </c>
      <c r="E23" s="8" t="s">
        <v>70</v>
      </c>
      <c r="F23" s="8" t="s">
        <v>70</v>
      </c>
      <c r="G23" s="8"/>
      <c r="H23" s="8" t="s">
        <v>70</v>
      </c>
      <c r="I23" s="8" t="s">
        <v>70</v>
      </c>
      <c r="J23" s="8" t="s">
        <v>70</v>
      </c>
      <c r="K23" s="8" t="s">
        <v>70</v>
      </c>
      <c r="L23" s="8" t="s">
        <v>70</v>
      </c>
      <c r="M23" s="8" t="s">
        <v>70</v>
      </c>
      <c r="N23" s="8"/>
      <c r="O23" s="8" t="s">
        <v>70</v>
      </c>
      <c r="P23" s="8" t="s">
        <v>70</v>
      </c>
      <c r="Q23" s="8" t="s">
        <v>70</v>
      </c>
      <c r="R23" s="8" t="s">
        <v>70</v>
      </c>
      <c r="S23" s="8" t="s">
        <v>70</v>
      </c>
      <c r="T23" s="8" t="s">
        <v>70</v>
      </c>
      <c r="U23" s="8"/>
      <c r="V23" s="8" t="s">
        <v>70</v>
      </c>
      <c r="W23" s="8" t="s">
        <v>70</v>
      </c>
      <c r="X23" s="8" t="s">
        <v>70</v>
      </c>
      <c r="Y23" s="8" t="s">
        <v>70</v>
      </c>
      <c r="Z23" s="8" t="s">
        <v>70</v>
      </c>
      <c r="AA23" s="8" t="s">
        <v>70</v>
      </c>
      <c r="AB23" s="8"/>
      <c r="AC23" s="8" t="s">
        <v>70</v>
      </c>
      <c r="AD23" s="8" t="s">
        <v>70</v>
      </c>
      <c r="AE23" s="8" t="s">
        <v>70</v>
      </c>
      <c r="AF23" s="8" t="s">
        <v>70</v>
      </c>
      <c r="AG23" s="8" t="s">
        <v>71</v>
      </c>
      <c r="AH23" s="8" t="s">
        <v>70</v>
      </c>
      <c r="AI23" s="9"/>
      <c r="AJ23" s="8">
        <f t="shared" si="2"/>
        <v>27</v>
      </c>
      <c r="AK23" s="8">
        <f t="shared" si="3"/>
        <v>26</v>
      </c>
      <c r="AL23" s="10">
        <f t="shared" si="3"/>
        <v>1</v>
      </c>
    </row>
    <row r="24" spans="2:38" ht="17.399999999999999" x14ac:dyDescent="0.3">
      <c r="B24" s="7">
        <v>3443</v>
      </c>
      <c r="C24" s="1" t="s">
        <v>20</v>
      </c>
      <c r="D24" s="8" t="s">
        <v>70</v>
      </c>
      <c r="E24" s="8" t="s">
        <v>70</v>
      </c>
      <c r="F24" s="8" t="s">
        <v>70</v>
      </c>
      <c r="G24" s="8"/>
      <c r="H24" s="8" t="s">
        <v>70</v>
      </c>
      <c r="I24" s="8" t="s">
        <v>70</v>
      </c>
      <c r="J24" s="8" t="s">
        <v>70</v>
      </c>
      <c r="K24" s="8" t="s">
        <v>70</v>
      </c>
      <c r="L24" s="8" t="s">
        <v>70</v>
      </c>
      <c r="M24" s="8" t="s">
        <v>70</v>
      </c>
      <c r="N24" s="8"/>
      <c r="O24" s="8" t="s">
        <v>70</v>
      </c>
      <c r="P24" s="8" t="s">
        <v>70</v>
      </c>
      <c r="Q24" s="8" t="s">
        <v>70</v>
      </c>
      <c r="R24" s="8" t="s">
        <v>70</v>
      </c>
      <c r="S24" s="8" t="s">
        <v>70</v>
      </c>
      <c r="T24" s="8" t="s">
        <v>70</v>
      </c>
      <c r="U24" s="8"/>
      <c r="V24" s="8" t="s">
        <v>70</v>
      </c>
      <c r="W24" s="8" t="s">
        <v>70</v>
      </c>
      <c r="X24" s="8" t="s">
        <v>70</v>
      </c>
      <c r="Y24" s="8" t="s">
        <v>70</v>
      </c>
      <c r="Z24" s="8" t="s">
        <v>70</v>
      </c>
      <c r="AA24" s="8" t="s">
        <v>70</v>
      </c>
      <c r="AB24" s="8"/>
      <c r="AC24" s="8" t="s">
        <v>70</v>
      </c>
      <c r="AD24" s="8" t="s">
        <v>71</v>
      </c>
      <c r="AE24" s="8" t="s">
        <v>70</v>
      </c>
      <c r="AF24" s="8" t="s">
        <v>70</v>
      </c>
      <c r="AG24" s="8" t="s">
        <v>70</v>
      </c>
      <c r="AH24" s="8" t="s">
        <v>70</v>
      </c>
      <c r="AI24" s="9"/>
      <c r="AJ24" s="8">
        <f t="shared" si="2"/>
        <v>27</v>
      </c>
      <c r="AK24" s="8">
        <f t="shared" si="3"/>
        <v>26</v>
      </c>
      <c r="AL24" s="10">
        <f t="shared" si="3"/>
        <v>1</v>
      </c>
    </row>
    <row r="25" spans="2:38" ht="17.399999999999999" x14ac:dyDescent="0.3">
      <c r="B25" s="7">
        <v>3444</v>
      </c>
      <c r="C25" s="1" t="s">
        <v>21</v>
      </c>
      <c r="D25" s="8" t="s">
        <v>70</v>
      </c>
      <c r="E25" s="8" t="s">
        <v>70</v>
      </c>
      <c r="F25" s="8" t="s">
        <v>70</v>
      </c>
      <c r="G25" s="8"/>
      <c r="H25" s="8" t="s">
        <v>70</v>
      </c>
      <c r="I25" s="8" t="s">
        <v>70</v>
      </c>
      <c r="J25" s="8" t="s">
        <v>70</v>
      </c>
      <c r="K25" s="8" t="s">
        <v>70</v>
      </c>
      <c r="L25" s="8" t="s">
        <v>70</v>
      </c>
      <c r="M25" s="8" t="s">
        <v>70</v>
      </c>
      <c r="N25" s="8"/>
      <c r="O25" s="8" t="s">
        <v>70</v>
      </c>
      <c r="P25" s="8" t="s">
        <v>70</v>
      </c>
      <c r="Q25" s="8" t="s">
        <v>70</v>
      </c>
      <c r="R25" s="8" t="s">
        <v>70</v>
      </c>
      <c r="S25" s="8" t="s">
        <v>70</v>
      </c>
      <c r="T25" s="8" t="s">
        <v>70</v>
      </c>
      <c r="U25" s="8"/>
      <c r="V25" s="8" t="s">
        <v>70</v>
      </c>
      <c r="W25" s="8" t="s">
        <v>70</v>
      </c>
      <c r="X25" s="8" t="s">
        <v>70</v>
      </c>
      <c r="Y25" s="8" t="s">
        <v>70</v>
      </c>
      <c r="Z25" s="8" t="s">
        <v>70</v>
      </c>
      <c r="AA25" s="8" t="s">
        <v>70</v>
      </c>
      <c r="AB25" s="8"/>
      <c r="AC25" s="8" t="s">
        <v>70</v>
      </c>
      <c r="AD25" s="8" t="s">
        <v>70</v>
      </c>
      <c r="AE25" s="8" t="s">
        <v>70</v>
      </c>
      <c r="AF25" s="8" t="s">
        <v>70</v>
      </c>
      <c r="AG25" s="8" t="s">
        <v>70</v>
      </c>
      <c r="AH25" s="8" t="s">
        <v>70</v>
      </c>
      <c r="AI25" s="9"/>
      <c r="AJ25" s="8">
        <f t="shared" si="2"/>
        <v>27</v>
      </c>
      <c r="AK25" s="8">
        <f t="shared" si="3"/>
        <v>27</v>
      </c>
      <c r="AL25" s="10">
        <f t="shared" si="3"/>
        <v>0</v>
      </c>
    </row>
    <row r="26" spans="2:38" ht="17.399999999999999" x14ac:dyDescent="0.3">
      <c r="B26" s="7">
        <v>3445</v>
      </c>
      <c r="C26" s="1" t="s">
        <v>22</v>
      </c>
      <c r="D26" s="8" t="s">
        <v>70</v>
      </c>
      <c r="E26" s="8" t="s">
        <v>70</v>
      </c>
      <c r="F26" s="8" t="s">
        <v>70</v>
      </c>
      <c r="G26" s="8"/>
      <c r="H26" s="8" t="s">
        <v>70</v>
      </c>
      <c r="I26" s="8" t="s">
        <v>70</v>
      </c>
      <c r="J26" s="8" t="s">
        <v>70</v>
      </c>
      <c r="K26" s="8" t="s">
        <v>70</v>
      </c>
      <c r="L26" s="8" t="s">
        <v>70</v>
      </c>
      <c r="M26" s="8" t="s">
        <v>70</v>
      </c>
      <c r="N26" s="8"/>
      <c r="O26" s="8" t="s">
        <v>70</v>
      </c>
      <c r="P26" s="8" t="s">
        <v>70</v>
      </c>
      <c r="Q26" s="8" t="s">
        <v>70</v>
      </c>
      <c r="R26" s="8" t="s">
        <v>70</v>
      </c>
      <c r="S26" s="8" t="s">
        <v>70</v>
      </c>
      <c r="T26" s="8" t="s">
        <v>70</v>
      </c>
      <c r="U26" s="8"/>
      <c r="V26" s="8" t="s">
        <v>70</v>
      </c>
      <c r="W26" s="8" t="s">
        <v>70</v>
      </c>
      <c r="X26" s="8" t="s">
        <v>70</v>
      </c>
      <c r="Y26" s="8" t="s">
        <v>70</v>
      </c>
      <c r="Z26" s="8" t="s">
        <v>70</v>
      </c>
      <c r="AA26" s="8" t="s">
        <v>70</v>
      </c>
      <c r="AB26" s="8"/>
      <c r="AC26" s="8" t="s">
        <v>70</v>
      </c>
      <c r="AD26" s="8" t="s">
        <v>70</v>
      </c>
      <c r="AE26" s="8" t="s">
        <v>70</v>
      </c>
      <c r="AF26" s="8" t="s">
        <v>70</v>
      </c>
      <c r="AG26" s="8" t="s">
        <v>70</v>
      </c>
      <c r="AH26" s="8" t="s">
        <v>70</v>
      </c>
      <c r="AI26" s="9"/>
      <c r="AJ26" s="8">
        <f t="shared" si="2"/>
        <v>27</v>
      </c>
      <c r="AK26" s="8">
        <f t="shared" si="3"/>
        <v>27</v>
      </c>
      <c r="AL26" s="10">
        <f t="shared" si="3"/>
        <v>0</v>
      </c>
    </row>
    <row r="27" spans="2:38" ht="17.399999999999999" x14ac:dyDescent="0.3">
      <c r="B27" s="7">
        <v>3446</v>
      </c>
      <c r="C27" s="1" t="s">
        <v>23</v>
      </c>
      <c r="D27" s="8" t="s">
        <v>70</v>
      </c>
      <c r="E27" s="8" t="s">
        <v>70</v>
      </c>
      <c r="F27" s="8" t="s">
        <v>70</v>
      </c>
      <c r="G27" s="8"/>
      <c r="H27" s="8" t="s">
        <v>70</v>
      </c>
      <c r="I27" s="8" t="s">
        <v>70</v>
      </c>
      <c r="J27" s="8" t="s">
        <v>70</v>
      </c>
      <c r="K27" s="8" t="s">
        <v>70</v>
      </c>
      <c r="L27" s="8" t="s">
        <v>70</v>
      </c>
      <c r="M27" s="8" t="s">
        <v>70</v>
      </c>
      <c r="N27" s="8"/>
      <c r="O27" s="8" t="s">
        <v>70</v>
      </c>
      <c r="P27" s="8" t="s">
        <v>70</v>
      </c>
      <c r="Q27" s="8" t="s">
        <v>70</v>
      </c>
      <c r="R27" s="8" t="s">
        <v>70</v>
      </c>
      <c r="S27" s="8" t="s">
        <v>70</v>
      </c>
      <c r="T27" s="8" t="s">
        <v>70</v>
      </c>
      <c r="U27" s="8"/>
      <c r="V27" s="8" t="s">
        <v>70</v>
      </c>
      <c r="W27" s="8" t="s">
        <v>70</v>
      </c>
      <c r="X27" s="8" t="s">
        <v>70</v>
      </c>
      <c r="Y27" s="8" t="s">
        <v>70</v>
      </c>
      <c r="Z27" s="8" t="s">
        <v>70</v>
      </c>
      <c r="AA27" s="8" t="s">
        <v>70</v>
      </c>
      <c r="AB27" s="8"/>
      <c r="AC27" s="8" t="s">
        <v>70</v>
      </c>
      <c r="AD27" s="8" t="s">
        <v>70</v>
      </c>
      <c r="AE27" s="8" t="s">
        <v>70</v>
      </c>
      <c r="AF27" s="8" t="s">
        <v>70</v>
      </c>
      <c r="AG27" s="8" t="s">
        <v>70</v>
      </c>
      <c r="AH27" s="8" t="s">
        <v>70</v>
      </c>
      <c r="AI27" s="9"/>
      <c r="AJ27" s="8">
        <f t="shared" si="2"/>
        <v>27</v>
      </c>
      <c r="AK27" s="8">
        <f t="shared" si="3"/>
        <v>27</v>
      </c>
      <c r="AL27" s="10">
        <f t="shared" si="3"/>
        <v>0</v>
      </c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33" priority="1" operator="containsText" text="A">
      <formula>NOT(ISERROR(SEARCH("A",D8)))</formula>
    </cfRule>
    <cfRule type="expression" dxfId="32" priority="5">
      <formula>D$6="Sun"</formula>
    </cfRule>
    <cfRule type="expression" dxfId="31" priority="6">
      <formula>D$6="Sun"</formula>
    </cfRule>
  </conditionalFormatting>
  <conditionalFormatting sqref="D6:AL7">
    <cfRule type="notContainsBlanks" dxfId="30" priority="2">
      <formula>LEN(TRIM(D6))&gt;0</formula>
    </cfRule>
    <cfRule type="notContainsBlanks" dxfId="29" priority="3">
      <formula>LEN(TRIM(D6))&gt;0</formula>
    </cfRule>
  </conditionalFormatting>
  <conditionalFormatting sqref="D6:AL27">
    <cfRule type="expression" dxfId="28" priority="4">
      <formula>D$6&lt;&gt;""</formula>
    </cfRule>
  </conditionalFormatting>
  <dataValidations count="4">
    <dataValidation type="custom" allowBlank="1" showInputMessage="1" showErrorMessage="1" errorTitle="Info" error="Week Off" sqref="D6:AH27" xr:uid="{00000000-0002-0000-0C00-000000000000}">
      <formula1>D$6&lt;&gt;"Sun"</formula1>
    </dataValidation>
    <dataValidation type="custom" allowBlank="1" showInputMessage="1" showErrorMessage="1" errorTitle="Info" error="Week Off" sqref="AI6:AL27" xr:uid="{00000000-0002-0000-0C00-000001000000}">
      <formula1>AI$6&lt;&gt;""</formula1>
    </dataValidation>
    <dataValidation type="list" allowBlank="1" showInputMessage="1" showErrorMessage="1" sqref="C4" xr:uid="{00000000-0002-0000-0C00-000002000000}">
      <formula1>"2024"</formula1>
    </dataValidation>
    <dataValidation type="list" allowBlank="1" showInputMessage="1" showErrorMessage="1" sqref="C3" xr:uid="{00000000-0002-0000-0C00-000003000000}">
      <formula1>"JANUARY,FEBRUARY,MARCH,APRIL,MAY,JUNE,JULY,AUGUST,SEPTEMBER,NOVEMBER,DECEMBER"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L27"/>
  <sheetViews>
    <sheetView showGridLines="0" zoomScale="40" zoomScaleNormal="40" workbookViewId="0">
      <selection activeCell="AP7" sqref="AP7"/>
    </sheetView>
  </sheetViews>
  <sheetFormatPr defaultRowHeight="14.4" x14ac:dyDescent="0.3"/>
  <cols>
    <col min="1" max="1" width="40.44140625" customWidth="1"/>
    <col min="2" max="2" width="27.6640625" bestFit="1" customWidth="1"/>
    <col min="3" max="3" width="24.88671875" bestFit="1" customWidth="1"/>
    <col min="4" max="33" width="10.109375" bestFit="1" customWidth="1"/>
    <col min="34" max="34" width="4.109375" bestFit="1" customWidth="1"/>
    <col min="35" max="35" width="18.6640625" customWidth="1"/>
    <col min="36" max="36" width="17" bestFit="1" customWidth="1"/>
    <col min="37" max="37" width="9.44140625" customWidth="1"/>
    <col min="38" max="38" width="9.88671875" customWidth="1"/>
    <col min="39" max="39" width="6.33203125" customWidth="1"/>
  </cols>
  <sheetData>
    <row r="1" spans="1:38" ht="49.5" customHeight="1" thickBot="1" x14ac:dyDescent="0.35"/>
    <row r="2" spans="1:38" ht="55.2" x14ac:dyDescent="1.3">
      <c r="A2" s="195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1" x14ac:dyDescent="0.4">
      <c r="B3" s="11" t="s">
        <v>64</v>
      </c>
      <c r="C3" s="12" t="s">
        <v>79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1" x14ac:dyDescent="0.4">
      <c r="B4" s="11" t="s">
        <v>65</v>
      </c>
      <c r="C4" s="1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18.600000000000001" thickBot="1" x14ac:dyDescent="0.4">
      <c r="B5" s="3">
        <f>DATEVALUE("1"&amp;C3&amp;C4)</f>
        <v>45536</v>
      </c>
      <c r="C5" s="2">
        <f>EOMONTH(B5,0)</f>
        <v>45565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54.75" customHeight="1" x14ac:dyDescent="0.35">
      <c r="B6" s="298" t="s">
        <v>2</v>
      </c>
      <c r="C6" s="299" t="s">
        <v>3</v>
      </c>
      <c r="D6" s="39" t="str">
        <f>TEXT(D7,"DDD")</f>
        <v>Sun</v>
      </c>
      <c r="E6" s="39" t="str">
        <f t="shared" ref="E6:AG6" si="0">TEXT(E7,"DDD")</f>
        <v>Mon</v>
      </c>
      <c r="F6" s="39" t="str">
        <f t="shared" si="0"/>
        <v>Tue</v>
      </c>
      <c r="G6" s="39" t="str">
        <f t="shared" si="0"/>
        <v>Wed</v>
      </c>
      <c r="H6" s="39" t="str">
        <f t="shared" si="0"/>
        <v>Thu</v>
      </c>
      <c r="I6" s="39" t="str">
        <f t="shared" si="0"/>
        <v>Fri</v>
      </c>
      <c r="J6" s="39" t="str">
        <f t="shared" si="0"/>
        <v>Sat</v>
      </c>
      <c r="K6" s="39" t="str">
        <f t="shared" si="0"/>
        <v>Sun</v>
      </c>
      <c r="L6" s="39" t="str">
        <f t="shared" si="0"/>
        <v>Mon</v>
      </c>
      <c r="M6" s="39" t="str">
        <f t="shared" si="0"/>
        <v>Tue</v>
      </c>
      <c r="N6" s="39" t="str">
        <f t="shared" si="0"/>
        <v>Wed</v>
      </c>
      <c r="O6" s="39" t="str">
        <f t="shared" si="0"/>
        <v>Thu</v>
      </c>
      <c r="P6" s="39" t="str">
        <f t="shared" si="0"/>
        <v>Fri</v>
      </c>
      <c r="Q6" s="39" t="str">
        <f t="shared" si="0"/>
        <v>Sat</v>
      </c>
      <c r="R6" s="39" t="str">
        <f t="shared" si="0"/>
        <v>Sun</v>
      </c>
      <c r="S6" s="39" t="str">
        <f t="shared" si="0"/>
        <v>Mon</v>
      </c>
      <c r="T6" s="39" t="str">
        <f t="shared" si="0"/>
        <v>Tue</v>
      </c>
      <c r="U6" s="39" t="str">
        <f t="shared" si="0"/>
        <v>Wed</v>
      </c>
      <c r="V6" s="39" t="str">
        <f t="shared" si="0"/>
        <v>Thu</v>
      </c>
      <c r="W6" s="39" t="str">
        <f t="shared" si="0"/>
        <v>Fri</v>
      </c>
      <c r="X6" s="39" t="str">
        <f t="shared" si="0"/>
        <v>Sat</v>
      </c>
      <c r="Y6" s="39" t="str">
        <f t="shared" si="0"/>
        <v>Sun</v>
      </c>
      <c r="Z6" s="39" t="str">
        <f t="shared" si="0"/>
        <v>Mon</v>
      </c>
      <c r="AA6" s="39" t="str">
        <f t="shared" si="0"/>
        <v>Tue</v>
      </c>
      <c r="AB6" s="39" t="str">
        <f t="shared" si="0"/>
        <v>Wed</v>
      </c>
      <c r="AC6" s="39" t="str">
        <f t="shared" si="0"/>
        <v>Thu</v>
      </c>
      <c r="AD6" s="39" t="str">
        <f t="shared" si="0"/>
        <v>Fri</v>
      </c>
      <c r="AE6" s="39" t="str">
        <f t="shared" si="0"/>
        <v>Sat</v>
      </c>
      <c r="AF6" s="39" t="str">
        <f t="shared" si="0"/>
        <v>Sun</v>
      </c>
      <c r="AG6" s="39" t="str">
        <f t="shared" si="0"/>
        <v>Mon</v>
      </c>
      <c r="AH6" s="5"/>
      <c r="AI6" s="300" t="s">
        <v>69</v>
      </c>
      <c r="AJ6" s="300" t="s">
        <v>70</v>
      </c>
      <c r="AK6" s="301" t="s">
        <v>71</v>
      </c>
    </row>
    <row r="7" spans="1:38" ht="34.5" customHeight="1" x14ac:dyDescent="0.4">
      <c r="B7" s="281"/>
      <c r="C7" s="282"/>
      <c r="D7" s="40">
        <f>B5</f>
        <v>45536</v>
      </c>
      <c r="E7" s="40">
        <f>IFERROR(IF(D7+1&gt;$C$5,"",D7+1),"")</f>
        <v>45537</v>
      </c>
      <c r="F7" s="40">
        <f t="shared" ref="F7:AG7" si="1">IFERROR(IF(E7+1&gt;$C$5,"",E7+1),"")</f>
        <v>45538</v>
      </c>
      <c r="G7" s="40">
        <f t="shared" si="1"/>
        <v>45539</v>
      </c>
      <c r="H7" s="40">
        <f t="shared" si="1"/>
        <v>45540</v>
      </c>
      <c r="I7" s="40">
        <f t="shared" si="1"/>
        <v>45541</v>
      </c>
      <c r="J7" s="40">
        <f t="shared" si="1"/>
        <v>45542</v>
      </c>
      <c r="K7" s="40">
        <f t="shared" si="1"/>
        <v>45543</v>
      </c>
      <c r="L7" s="40">
        <f t="shared" si="1"/>
        <v>45544</v>
      </c>
      <c r="M7" s="40">
        <f t="shared" si="1"/>
        <v>45545</v>
      </c>
      <c r="N7" s="40">
        <f t="shared" si="1"/>
        <v>45546</v>
      </c>
      <c r="O7" s="40">
        <f t="shared" si="1"/>
        <v>45547</v>
      </c>
      <c r="P7" s="40">
        <f t="shared" si="1"/>
        <v>45548</v>
      </c>
      <c r="Q7" s="40">
        <f t="shared" si="1"/>
        <v>45549</v>
      </c>
      <c r="R7" s="40">
        <f t="shared" si="1"/>
        <v>45550</v>
      </c>
      <c r="S7" s="40">
        <f>IFERROR(IF(R7+1&gt;$C$5,"",R7+1),"")</f>
        <v>45551</v>
      </c>
      <c r="T7" s="40">
        <f t="shared" si="1"/>
        <v>45552</v>
      </c>
      <c r="U7" s="40">
        <f t="shared" si="1"/>
        <v>45553</v>
      </c>
      <c r="V7" s="40">
        <f t="shared" si="1"/>
        <v>45554</v>
      </c>
      <c r="W7" s="40">
        <f t="shared" si="1"/>
        <v>45555</v>
      </c>
      <c r="X7" s="40">
        <f t="shared" si="1"/>
        <v>45556</v>
      </c>
      <c r="Y7" s="40">
        <f t="shared" si="1"/>
        <v>45557</v>
      </c>
      <c r="Z7" s="40">
        <f>IFERROR(IF(Y7+1&gt;$C$5,"",Y7+1),"")</f>
        <v>45558</v>
      </c>
      <c r="AA7" s="40">
        <f t="shared" si="1"/>
        <v>45559</v>
      </c>
      <c r="AB7" s="40">
        <f t="shared" si="1"/>
        <v>45560</v>
      </c>
      <c r="AC7" s="40">
        <f t="shared" si="1"/>
        <v>45561</v>
      </c>
      <c r="AD7" s="40">
        <f t="shared" si="1"/>
        <v>45562</v>
      </c>
      <c r="AE7" s="40">
        <f t="shared" si="1"/>
        <v>45563</v>
      </c>
      <c r="AF7" s="40">
        <f t="shared" si="1"/>
        <v>45564</v>
      </c>
      <c r="AG7" s="40">
        <f t="shared" si="1"/>
        <v>45565</v>
      </c>
      <c r="AH7" s="4"/>
      <c r="AI7" s="300"/>
      <c r="AJ7" s="300"/>
      <c r="AK7" s="301"/>
    </row>
    <row r="8" spans="1:38" ht="17.399999999999999" x14ac:dyDescent="0.3">
      <c r="B8" s="7">
        <v>3427</v>
      </c>
      <c r="C8" s="1" t="s">
        <v>4</v>
      </c>
      <c r="D8" s="8"/>
      <c r="E8" s="8" t="s">
        <v>70</v>
      </c>
      <c r="F8" s="8" t="s">
        <v>70</v>
      </c>
      <c r="G8" s="8" t="s">
        <v>70</v>
      </c>
      <c r="H8" s="8" t="s">
        <v>70</v>
      </c>
      <c r="I8" s="8" t="s">
        <v>70</v>
      </c>
      <c r="J8" s="8" t="s">
        <v>70</v>
      </c>
      <c r="K8" s="8"/>
      <c r="L8" s="8" t="s">
        <v>70</v>
      </c>
      <c r="M8" s="8" t="s">
        <v>70</v>
      </c>
      <c r="N8" s="8" t="s">
        <v>70</v>
      </c>
      <c r="O8" s="8" t="s">
        <v>70</v>
      </c>
      <c r="P8" s="8" t="s">
        <v>70</v>
      </c>
      <c r="Q8" s="8" t="s">
        <v>70</v>
      </c>
      <c r="R8" s="8"/>
      <c r="S8" s="8" t="s">
        <v>70</v>
      </c>
      <c r="T8" s="8" t="s">
        <v>70</v>
      </c>
      <c r="U8" s="8" t="s">
        <v>70</v>
      </c>
      <c r="V8" s="8" t="s">
        <v>70</v>
      </c>
      <c r="W8" s="8" t="s">
        <v>70</v>
      </c>
      <c r="X8" s="8" t="s">
        <v>70</v>
      </c>
      <c r="Y8" s="8"/>
      <c r="Z8" s="8" t="s">
        <v>70</v>
      </c>
      <c r="AA8" s="8" t="s">
        <v>70</v>
      </c>
      <c r="AB8" s="8" t="s">
        <v>70</v>
      </c>
      <c r="AC8" s="8" t="s">
        <v>70</v>
      </c>
      <c r="AD8" s="8" t="s">
        <v>70</v>
      </c>
      <c r="AE8" s="8" t="s">
        <v>70</v>
      </c>
      <c r="AF8" s="8"/>
      <c r="AG8" s="8" t="s">
        <v>70</v>
      </c>
      <c r="AH8" s="9"/>
      <c r="AI8" s="8">
        <f>SUM(AJ8,AK8)</f>
        <v>25</v>
      </c>
      <c r="AJ8" s="8">
        <f t="shared" ref="AJ8:AJ27" si="2">COUNTIF(D8:AG8,AJ$6)</f>
        <v>25</v>
      </c>
      <c r="AK8" s="10">
        <f t="shared" ref="AK8:AK27" si="3">COUNTIF(E8:AH8,AK$6)</f>
        <v>0</v>
      </c>
    </row>
    <row r="9" spans="1:38" ht="17.399999999999999" x14ac:dyDescent="0.3">
      <c r="B9" s="7">
        <v>3428</v>
      </c>
      <c r="C9" s="1" t="s">
        <v>5</v>
      </c>
      <c r="D9" s="8"/>
      <c r="E9" s="8" t="s">
        <v>70</v>
      </c>
      <c r="F9" s="8" t="s">
        <v>70</v>
      </c>
      <c r="G9" s="8" t="s">
        <v>70</v>
      </c>
      <c r="H9" s="8" t="s">
        <v>70</v>
      </c>
      <c r="I9" s="8" t="s">
        <v>70</v>
      </c>
      <c r="J9" s="8" t="s">
        <v>70</v>
      </c>
      <c r="K9" s="8"/>
      <c r="L9" s="8" t="s">
        <v>70</v>
      </c>
      <c r="M9" s="8" t="s">
        <v>70</v>
      </c>
      <c r="N9" s="8" t="s">
        <v>70</v>
      </c>
      <c r="O9" s="8" t="s">
        <v>70</v>
      </c>
      <c r="P9" s="8" t="s">
        <v>70</v>
      </c>
      <c r="Q9" s="8" t="s">
        <v>70</v>
      </c>
      <c r="R9" s="8"/>
      <c r="S9" s="8" t="s">
        <v>70</v>
      </c>
      <c r="T9" s="8" t="s">
        <v>70</v>
      </c>
      <c r="U9" s="8" t="s">
        <v>70</v>
      </c>
      <c r="V9" s="8" t="s">
        <v>70</v>
      </c>
      <c r="W9" s="8" t="s">
        <v>70</v>
      </c>
      <c r="X9" s="8" t="s">
        <v>70</v>
      </c>
      <c r="Y9" s="8"/>
      <c r="Z9" s="8" t="s">
        <v>70</v>
      </c>
      <c r="AA9" s="8" t="s">
        <v>71</v>
      </c>
      <c r="AB9" s="8" t="s">
        <v>70</v>
      </c>
      <c r="AC9" s="8" t="s">
        <v>70</v>
      </c>
      <c r="AD9" s="8" t="s">
        <v>70</v>
      </c>
      <c r="AE9" s="8" t="s">
        <v>70</v>
      </c>
      <c r="AF9" s="8"/>
      <c r="AG9" s="8" t="s">
        <v>70</v>
      </c>
      <c r="AH9" s="9"/>
      <c r="AI9" s="8">
        <f t="shared" ref="AI9:AI27" si="4">SUM(AJ9,AK9)</f>
        <v>25</v>
      </c>
      <c r="AJ9" s="8">
        <f t="shared" si="2"/>
        <v>24</v>
      </c>
      <c r="AK9" s="10">
        <f t="shared" si="3"/>
        <v>1</v>
      </c>
    </row>
    <row r="10" spans="1:38" ht="17.399999999999999" x14ac:dyDescent="0.3">
      <c r="B10" s="7">
        <v>3429</v>
      </c>
      <c r="C10" s="1" t="s">
        <v>6</v>
      </c>
      <c r="D10" s="8"/>
      <c r="E10" s="8" t="s">
        <v>70</v>
      </c>
      <c r="F10" s="8" t="s">
        <v>70</v>
      </c>
      <c r="G10" s="8" t="s">
        <v>70</v>
      </c>
      <c r="H10" s="8" t="s">
        <v>70</v>
      </c>
      <c r="I10" s="8" t="s">
        <v>70</v>
      </c>
      <c r="J10" s="8" t="s">
        <v>70</v>
      </c>
      <c r="K10" s="8"/>
      <c r="L10" s="8" t="s">
        <v>70</v>
      </c>
      <c r="M10" s="8" t="s">
        <v>70</v>
      </c>
      <c r="N10" s="8" t="s">
        <v>70</v>
      </c>
      <c r="O10" s="8" t="s">
        <v>70</v>
      </c>
      <c r="P10" s="8" t="s">
        <v>70</v>
      </c>
      <c r="Q10" s="8" t="s">
        <v>70</v>
      </c>
      <c r="R10" s="8"/>
      <c r="S10" s="8" t="s">
        <v>70</v>
      </c>
      <c r="T10" s="8" t="s">
        <v>70</v>
      </c>
      <c r="U10" s="8" t="s">
        <v>70</v>
      </c>
      <c r="V10" s="8" t="s">
        <v>70</v>
      </c>
      <c r="W10" s="8" t="s">
        <v>70</v>
      </c>
      <c r="X10" s="8" t="s">
        <v>70</v>
      </c>
      <c r="Y10" s="8"/>
      <c r="Z10" s="8" t="s">
        <v>70</v>
      </c>
      <c r="AA10" s="8" t="s">
        <v>70</v>
      </c>
      <c r="AB10" s="8" t="s">
        <v>70</v>
      </c>
      <c r="AC10" s="8" t="s">
        <v>70</v>
      </c>
      <c r="AD10" s="8" t="s">
        <v>70</v>
      </c>
      <c r="AE10" s="8" t="s">
        <v>70</v>
      </c>
      <c r="AF10" s="8"/>
      <c r="AG10" s="8" t="s">
        <v>70</v>
      </c>
      <c r="AH10" s="9"/>
      <c r="AI10" s="8">
        <f t="shared" si="4"/>
        <v>25</v>
      </c>
      <c r="AJ10" s="8">
        <f t="shared" si="2"/>
        <v>25</v>
      </c>
      <c r="AK10" s="10">
        <f t="shared" si="3"/>
        <v>0</v>
      </c>
    </row>
    <row r="11" spans="1:38" ht="17.399999999999999" x14ac:dyDescent="0.3">
      <c r="B11" s="7">
        <v>3430</v>
      </c>
      <c r="C11" s="1" t="s">
        <v>7</v>
      </c>
      <c r="D11" s="8"/>
      <c r="E11" s="8" t="s">
        <v>70</v>
      </c>
      <c r="F11" s="8" t="s">
        <v>70</v>
      </c>
      <c r="G11" s="8" t="s">
        <v>71</v>
      </c>
      <c r="H11" s="8" t="s">
        <v>70</v>
      </c>
      <c r="I11" s="8" t="s">
        <v>70</v>
      </c>
      <c r="J11" s="8" t="s">
        <v>70</v>
      </c>
      <c r="K11" s="8"/>
      <c r="L11" s="8" t="s">
        <v>70</v>
      </c>
      <c r="M11" s="8" t="s">
        <v>70</v>
      </c>
      <c r="N11" s="8" t="s">
        <v>70</v>
      </c>
      <c r="O11" s="8" t="s">
        <v>70</v>
      </c>
      <c r="P11" s="8" t="s">
        <v>70</v>
      </c>
      <c r="Q11" s="8" t="s">
        <v>70</v>
      </c>
      <c r="R11" s="8"/>
      <c r="S11" s="8" t="s">
        <v>70</v>
      </c>
      <c r="T11" s="8" t="s">
        <v>70</v>
      </c>
      <c r="U11" s="8" t="s">
        <v>70</v>
      </c>
      <c r="V11" s="8" t="s">
        <v>70</v>
      </c>
      <c r="W11" s="8" t="s">
        <v>70</v>
      </c>
      <c r="X11" s="8" t="s">
        <v>70</v>
      </c>
      <c r="Y11" s="8"/>
      <c r="Z11" s="8" t="s">
        <v>70</v>
      </c>
      <c r="AA11" s="8" t="s">
        <v>70</v>
      </c>
      <c r="AB11" s="8" t="s">
        <v>70</v>
      </c>
      <c r="AC11" s="8" t="s">
        <v>70</v>
      </c>
      <c r="AD11" s="8" t="s">
        <v>70</v>
      </c>
      <c r="AE11" s="8" t="s">
        <v>70</v>
      </c>
      <c r="AF11" s="8"/>
      <c r="AG11" s="8" t="s">
        <v>71</v>
      </c>
      <c r="AH11" s="9"/>
      <c r="AI11" s="8">
        <f t="shared" si="4"/>
        <v>25</v>
      </c>
      <c r="AJ11" s="8">
        <f t="shared" si="2"/>
        <v>23</v>
      </c>
      <c r="AK11" s="10">
        <f t="shared" si="3"/>
        <v>2</v>
      </c>
    </row>
    <row r="12" spans="1:38" ht="17.399999999999999" x14ac:dyDescent="0.3">
      <c r="B12" s="7">
        <v>3431</v>
      </c>
      <c r="C12" s="1" t="s">
        <v>8</v>
      </c>
      <c r="D12" s="8"/>
      <c r="E12" s="8" t="s">
        <v>70</v>
      </c>
      <c r="F12" s="8" t="s">
        <v>70</v>
      </c>
      <c r="G12" s="8" t="s">
        <v>70</v>
      </c>
      <c r="H12" s="8" t="s">
        <v>70</v>
      </c>
      <c r="I12" s="8" t="s">
        <v>70</v>
      </c>
      <c r="J12" s="8" t="s">
        <v>70</v>
      </c>
      <c r="K12" s="8"/>
      <c r="L12" s="8" t="s">
        <v>70</v>
      </c>
      <c r="M12" s="8" t="s">
        <v>71</v>
      </c>
      <c r="N12" s="8" t="s">
        <v>70</v>
      </c>
      <c r="O12" s="8" t="s">
        <v>70</v>
      </c>
      <c r="P12" s="8" t="s">
        <v>70</v>
      </c>
      <c r="Q12" s="8" t="s">
        <v>70</v>
      </c>
      <c r="R12" s="8"/>
      <c r="S12" s="8" t="s">
        <v>70</v>
      </c>
      <c r="T12" s="8" t="s">
        <v>70</v>
      </c>
      <c r="U12" s="8" t="s">
        <v>71</v>
      </c>
      <c r="V12" s="8" t="s">
        <v>70</v>
      </c>
      <c r="W12" s="8" t="s">
        <v>70</v>
      </c>
      <c r="X12" s="8" t="s">
        <v>70</v>
      </c>
      <c r="Y12" s="8"/>
      <c r="Z12" s="8" t="s">
        <v>70</v>
      </c>
      <c r="AA12" s="8" t="s">
        <v>70</v>
      </c>
      <c r="AB12" s="8" t="s">
        <v>70</v>
      </c>
      <c r="AC12" s="8" t="s">
        <v>70</v>
      </c>
      <c r="AD12" s="8" t="s">
        <v>70</v>
      </c>
      <c r="AE12" s="8" t="s">
        <v>70</v>
      </c>
      <c r="AF12" s="8"/>
      <c r="AG12" s="8" t="s">
        <v>70</v>
      </c>
      <c r="AH12" s="9"/>
      <c r="AI12" s="8">
        <f t="shared" si="4"/>
        <v>25</v>
      </c>
      <c r="AJ12" s="8">
        <f t="shared" si="2"/>
        <v>23</v>
      </c>
      <c r="AK12" s="10">
        <f t="shared" si="3"/>
        <v>2</v>
      </c>
    </row>
    <row r="13" spans="1:38" ht="17.399999999999999" x14ac:dyDescent="0.3">
      <c r="B13" s="7">
        <v>3432</v>
      </c>
      <c r="C13" s="1" t="s">
        <v>9</v>
      </c>
      <c r="D13" s="8"/>
      <c r="E13" s="8" t="s">
        <v>70</v>
      </c>
      <c r="F13" s="8" t="s">
        <v>70</v>
      </c>
      <c r="G13" s="8" t="s">
        <v>70</v>
      </c>
      <c r="H13" s="8" t="s">
        <v>70</v>
      </c>
      <c r="I13" s="8" t="s">
        <v>70</v>
      </c>
      <c r="J13" s="8" t="s">
        <v>70</v>
      </c>
      <c r="K13" s="8"/>
      <c r="L13" s="8" t="s">
        <v>70</v>
      </c>
      <c r="M13" s="8" t="s">
        <v>70</v>
      </c>
      <c r="N13" s="8" t="s">
        <v>70</v>
      </c>
      <c r="O13" s="8" t="s">
        <v>70</v>
      </c>
      <c r="P13" s="8" t="s">
        <v>70</v>
      </c>
      <c r="Q13" s="8" t="s">
        <v>70</v>
      </c>
      <c r="R13" s="8"/>
      <c r="S13" s="8" t="s">
        <v>70</v>
      </c>
      <c r="T13" s="8" t="s">
        <v>70</v>
      </c>
      <c r="U13" s="8" t="s">
        <v>70</v>
      </c>
      <c r="V13" s="8" t="s">
        <v>70</v>
      </c>
      <c r="W13" s="8" t="s">
        <v>70</v>
      </c>
      <c r="X13" s="8" t="s">
        <v>70</v>
      </c>
      <c r="Y13" s="8"/>
      <c r="Z13" s="8" t="s">
        <v>70</v>
      </c>
      <c r="AA13" s="8" t="s">
        <v>70</v>
      </c>
      <c r="AB13" s="8" t="s">
        <v>70</v>
      </c>
      <c r="AC13" s="8" t="s">
        <v>70</v>
      </c>
      <c r="AD13" s="8" t="s">
        <v>70</v>
      </c>
      <c r="AE13" s="8" t="s">
        <v>70</v>
      </c>
      <c r="AF13" s="8"/>
      <c r="AG13" s="8" t="s">
        <v>70</v>
      </c>
      <c r="AH13" s="9"/>
      <c r="AI13" s="8">
        <f t="shared" si="4"/>
        <v>25</v>
      </c>
      <c r="AJ13" s="8">
        <f t="shared" si="2"/>
        <v>25</v>
      </c>
      <c r="AK13" s="10">
        <f t="shared" si="3"/>
        <v>0</v>
      </c>
    </row>
    <row r="14" spans="1:38" ht="17.399999999999999" x14ac:dyDescent="0.3">
      <c r="B14" s="7">
        <v>3433</v>
      </c>
      <c r="C14" s="1" t="s">
        <v>10</v>
      </c>
      <c r="D14" s="8"/>
      <c r="E14" s="8" t="s">
        <v>70</v>
      </c>
      <c r="F14" s="8" t="s">
        <v>70</v>
      </c>
      <c r="G14" s="8" t="s">
        <v>70</v>
      </c>
      <c r="H14" s="8" t="s">
        <v>70</v>
      </c>
      <c r="I14" s="8" t="s">
        <v>70</v>
      </c>
      <c r="J14" s="8" t="s">
        <v>70</v>
      </c>
      <c r="K14" s="8"/>
      <c r="L14" s="8" t="s">
        <v>70</v>
      </c>
      <c r="M14" s="8" t="s">
        <v>70</v>
      </c>
      <c r="N14" s="8" t="s">
        <v>70</v>
      </c>
      <c r="O14" s="8" t="s">
        <v>70</v>
      </c>
      <c r="P14" s="8" t="s">
        <v>70</v>
      </c>
      <c r="Q14" s="8" t="s">
        <v>70</v>
      </c>
      <c r="R14" s="8"/>
      <c r="S14" s="8" t="s">
        <v>70</v>
      </c>
      <c r="T14" s="8" t="s">
        <v>70</v>
      </c>
      <c r="U14" s="8" t="s">
        <v>70</v>
      </c>
      <c r="V14" s="8" t="s">
        <v>70</v>
      </c>
      <c r="W14" s="8" t="s">
        <v>70</v>
      </c>
      <c r="X14" s="8" t="s">
        <v>70</v>
      </c>
      <c r="Y14" s="8"/>
      <c r="Z14" s="8" t="s">
        <v>70</v>
      </c>
      <c r="AA14" s="8" t="s">
        <v>70</v>
      </c>
      <c r="AB14" s="8" t="s">
        <v>70</v>
      </c>
      <c r="AC14" s="8" t="s">
        <v>70</v>
      </c>
      <c r="AD14" s="8" t="s">
        <v>70</v>
      </c>
      <c r="AE14" s="8" t="s">
        <v>70</v>
      </c>
      <c r="AF14" s="8"/>
      <c r="AG14" s="8" t="s">
        <v>70</v>
      </c>
      <c r="AH14" s="9"/>
      <c r="AI14" s="8">
        <f t="shared" si="4"/>
        <v>25</v>
      </c>
      <c r="AJ14" s="8">
        <f t="shared" si="2"/>
        <v>25</v>
      </c>
      <c r="AK14" s="10">
        <f t="shared" si="3"/>
        <v>0</v>
      </c>
    </row>
    <row r="15" spans="1:38" ht="17.399999999999999" x14ac:dyDescent="0.3">
      <c r="B15" s="7">
        <v>3434</v>
      </c>
      <c r="C15" s="1" t="s">
        <v>11</v>
      </c>
      <c r="D15" s="8"/>
      <c r="E15" s="8" t="s">
        <v>70</v>
      </c>
      <c r="F15" s="8" t="s">
        <v>70</v>
      </c>
      <c r="G15" s="8" t="s">
        <v>70</v>
      </c>
      <c r="H15" s="8" t="s">
        <v>70</v>
      </c>
      <c r="I15" s="8" t="s">
        <v>70</v>
      </c>
      <c r="J15" s="8" t="s">
        <v>70</v>
      </c>
      <c r="K15" s="8"/>
      <c r="L15" s="8" t="s">
        <v>70</v>
      </c>
      <c r="M15" s="8" t="s">
        <v>70</v>
      </c>
      <c r="N15" s="8" t="s">
        <v>70</v>
      </c>
      <c r="O15" s="8" t="s">
        <v>70</v>
      </c>
      <c r="P15" s="8" t="s">
        <v>70</v>
      </c>
      <c r="Q15" s="8" t="s">
        <v>70</v>
      </c>
      <c r="R15" s="8"/>
      <c r="S15" s="8" t="s">
        <v>70</v>
      </c>
      <c r="T15" s="8" t="s">
        <v>70</v>
      </c>
      <c r="U15" s="8" t="s">
        <v>70</v>
      </c>
      <c r="V15" s="8" t="s">
        <v>70</v>
      </c>
      <c r="W15" s="8" t="s">
        <v>70</v>
      </c>
      <c r="X15" s="8" t="s">
        <v>70</v>
      </c>
      <c r="Y15" s="8"/>
      <c r="Z15" s="8" t="s">
        <v>70</v>
      </c>
      <c r="AA15" s="8" t="s">
        <v>70</v>
      </c>
      <c r="AB15" s="8" t="s">
        <v>70</v>
      </c>
      <c r="AC15" s="8" t="s">
        <v>70</v>
      </c>
      <c r="AD15" s="8" t="s">
        <v>70</v>
      </c>
      <c r="AE15" s="8" t="s">
        <v>70</v>
      </c>
      <c r="AF15" s="8"/>
      <c r="AG15" s="8" t="s">
        <v>70</v>
      </c>
      <c r="AH15" s="9"/>
      <c r="AI15" s="8">
        <f t="shared" si="4"/>
        <v>25</v>
      </c>
      <c r="AJ15" s="8">
        <f t="shared" si="2"/>
        <v>25</v>
      </c>
      <c r="AK15" s="10">
        <f t="shared" si="3"/>
        <v>0</v>
      </c>
    </row>
    <row r="16" spans="1:38" ht="17.399999999999999" x14ac:dyDescent="0.3">
      <c r="B16" s="7">
        <v>3435</v>
      </c>
      <c r="C16" s="1" t="s">
        <v>12</v>
      </c>
      <c r="D16" s="8"/>
      <c r="E16" s="8" t="s">
        <v>70</v>
      </c>
      <c r="F16" s="8" t="s">
        <v>70</v>
      </c>
      <c r="G16" s="8" t="s">
        <v>70</v>
      </c>
      <c r="H16" s="8" t="s">
        <v>70</v>
      </c>
      <c r="I16" s="8" t="s">
        <v>71</v>
      </c>
      <c r="J16" s="8" t="s">
        <v>70</v>
      </c>
      <c r="K16" s="8"/>
      <c r="L16" s="8" t="s">
        <v>70</v>
      </c>
      <c r="M16" s="8" t="s">
        <v>70</v>
      </c>
      <c r="N16" s="8" t="s">
        <v>70</v>
      </c>
      <c r="O16" s="8" t="s">
        <v>70</v>
      </c>
      <c r="P16" s="8" t="s">
        <v>70</v>
      </c>
      <c r="Q16" s="8" t="s">
        <v>70</v>
      </c>
      <c r="R16" s="8"/>
      <c r="S16" s="8" t="s">
        <v>70</v>
      </c>
      <c r="T16" s="8" t="s">
        <v>70</v>
      </c>
      <c r="U16" s="8" t="s">
        <v>70</v>
      </c>
      <c r="V16" s="8" t="s">
        <v>70</v>
      </c>
      <c r="W16" s="8" t="s">
        <v>70</v>
      </c>
      <c r="X16" s="8" t="s">
        <v>70</v>
      </c>
      <c r="Y16" s="8"/>
      <c r="Z16" s="8" t="s">
        <v>70</v>
      </c>
      <c r="AA16" s="8" t="s">
        <v>70</v>
      </c>
      <c r="AB16" s="8" t="s">
        <v>70</v>
      </c>
      <c r="AC16" s="8" t="s">
        <v>70</v>
      </c>
      <c r="AD16" s="8" t="s">
        <v>70</v>
      </c>
      <c r="AE16" s="8" t="s">
        <v>70</v>
      </c>
      <c r="AF16" s="8"/>
      <c r="AG16" s="8" t="s">
        <v>70</v>
      </c>
      <c r="AH16" s="9"/>
      <c r="AI16" s="8">
        <f t="shared" si="4"/>
        <v>25</v>
      </c>
      <c r="AJ16" s="8">
        <f t="shared" si="2"/>
        <v>24</v>
      </c>
      <c r="AK16" s="10">
        <f t="shared" si="3"/>
        <v>1</v>
      </c>
    </row>
    <row r="17" spans="2:37" ht="17.399999999999999" x14ac:dyDescent="0.3">
      <c r="B17" s="7">
        <v>3436</v>
      </c>
      <c r="C17" s="1" t="s">
        <v>13</v>
      </c>
      <c r="D17" s="8"/>
      <c r="E17" s="8" t="s">
        <v>70</v>
      </c>
      <c r="F17" s="8" t="s">
        <v>70</v>
      </c>
      <c r="G17" s="8" t="s">
        <v>70</v>
      </c>
      <c r="H17" s="8" t="s">
        <v>70</v>
      </c>
      <c r="I17" s="8" t="s">
        <v>70</v>
      </c>
      <c r="J17" s="8" t="s">
        <v>70</v>
      </c>
      <c r="K17" s="8"/>
      <c r="L17" s="8" t="s">
        <v>70</v>
      </c>
      <c r="M17" s="8" t="s">
        <v>70</v>
      </c>
      <c r="N17" s="8" t="s">
        <v>70</v>
      </c>
      <c r="O17" s="8" t="s">
        <v>70</v>
      </c>
      <c r="P17" s="8" t="s">
        <v>70</v>
      </c>
      <c r="Q17" s="8" t="s">
        <v>70</v>
      </c>
      <c r="R17" s="8"/>
      <c r="S17" s="8" t="s">
        <v>70</v>
      </c>
      <c r="T17" s="8" t="s">
        <v>70</v>
      </c>
      <c r="U17" s="8" t="s">
        <v>70</v>
      </c>
      <c r="V17" s="8" t="s">
        <v>70</v>
      </c>
      <c r="W17" s="8" t="s">
        <v>70</v>
      </c>
      <c r="X17" s="8" t="s">
        <v>70</v>
      </c>
      <c r="Y17" s="8"/>
      <c r="Z17" s="8" t="s">
        <v>70</v>
      </c>
      <c r="AA17" s="8" t="s">
        <v>70</v>
      </c>
      <c r="AB17" s="8" t="s">
        <v>70</v>
      </c>
      <c r="AC17" s="8" t="s">
        <v>70</v>
      </c>
      <c r="AD17" s="8" t="s">
        <v>70</v>
      </c>
      <c r="AE17" s="8" t="s">
        <v>70</v>
      </c>
      <c r="AF17" s="8"/>
      <c r="AG17" s="8" t="s">
        <v>70</v>
      </c>
      <c r="AH17" s="9"/>
      <c r="AI17" s="8">
        <f t="shared" si="4"/>
        <v>25</v>
      </c>
      <c r="AJ17" s="8">
        <f t="shared" si="2"/>
        <v>25</v>
      </c>
      <c r="AK17" s="10">
        <f t="shared" si="3"/>
        <v>0</v>
      </c>
    </row>
    <row r="18" spans="2:37" ht="17.399999999999999" x14ac:dyDescent="0.3">
      <c r="B18" s="7">
        <v>3437</v>
      </c>
      <c r="C18" s="1" t="s">
        <v>14</v>
      </c>
      <c r="D18" s="8"/>
      <c r="E18" s="8" t="s">
        <v>70</v>
      </c>
      <c r="F18" s="8" t="s">
        <v>71</v>
      </c>
      <c r="G18" s="8" t="s">
        <v>70</v>
      </c>
      <c r="H18" s="8" t="s">
        <v>70</v>
      </c>
      <c r="I18" s="8" t="s">
        <v>70</v>
      </c>
      <c r="J18" s="8" t="s">
        <v>70</v>
      </c>
      <c r="K18" s="8"/>
      <c r="L18" s="8" t="s">
        <v>70</v>
      </c>
      <c r="M18" s="8" t="s">
        <v>70</v>
      </c>
      <c r="N18" s="8" t="s">
        <v>70</v>
      </c>
      <c r="O18" s="8" t="s">
        <v>70</v>
      </c>
      <c r="P18" s="8" t="s">
        <v>70</v>
      </c>
      <c r="Q18" s="8" t="s">
        <v>71</v>
      </c>
      <c r="R18" s="8"/>
      <c r="S18" s="8" t="s">
        <v>70</v>
      </c>
      <c r="T18" s="8" t="s">
        <v>70</v>
      </c>
      <c r="U18" s="8" t="s">
        <v>70</v>
      </c>
      <c r="V18" s="8" t="s">
        <v>70</v>
      </c>
      <c r="W18" s="8" t="s">
        <v>70</v>
      </c>
      <c r="X18" s="8" t="s">
        <v>70</v>
      </c>
      <c r="Y18" s="8"/>
      <c r="Z18" s="8" t="s">
        <v>70</v>
      </c>
      <c r="AA18" s="8" t="s">
        <v>70</v>
      </c>
      <c r="AB18" s="8" t="s">
        <v>70</v>
      </c>
      <c r="AC18" s="8" t="s">
        <v>70</v>
      </c>
      <c r="AD18" s="8" t="s">
        <v>70</v>
      </c>
      <c r="AE18" s="8" t="s">
        <v>70</v>
      </c>
      <c r="AF18" s="8"/>
      <c r="AG18" s="8" t="s">
        <v>70</v>
      </c>
      <c r="AH18" s="9"/>
      <c r="AI18" s="8">
        <f t="shared" si="4"/>
        <v>25</v>
      </c>
      <c r="AJ18" s="8">
        <f t="shared" si="2"/>
        <v>23</v>
      </c>
      <c r="AK18" s="10">
        <f t="shared" si="3"/>
        <v>2</v>
      </c>
    </row>
    <row r="19" spans="2:37" ht="17.399999999999999" x14ac:dyDescent="0.3">
      <c r="B19" s="7">
        <v>3438</v>
      </c>
      <c r="C19" s="1" t="s">
        <v>15</v>
      </c>
      <c r="D19" s="8"/>
      <c r="E19" s="8" t="s">
        <v>70</v>
      </c>
      <c r="F19" s="8" t="s">
        <v>70</v>
      </c>
      <c r="G19" s="8" t="s">
        <v>70</v>
      </c>
      <c r="H19" s="8" t="s">
        <v>70</v>
      </c>
      <c r="I19" s="8" t="s">
        <v>70</v>
      </c>
      <c r="J19" s="8" t="s">
        <v>70</v>
      </c>
      <c r="K19" s="8"/>
      <c r="L19" s="8" t="s">
        <v>70</v>
      </c>
      <c r="M19" s="8" t="s">
        <v>70</v>
      </c>
      <c r="N19" s="8" t="s">
        <v>70</v>
      </c>
      <c r="O19" s="8" t="s">
        <v>70</v>
      </c>
      <c r="P19" s="8" t="s">
        <v>70</v>
      </c>
      <c r="Q19" s="8" t="s">
        <v>70</v>
      </c>
      <c r="R19" s="8"/>
      <c r="S19" s="8" t="s">
        <v>70</v>
      </c>
      <c r="T19" s="8" t="s">
        <v>70</v>
      </c>
      <c r="U19" s="8" t="s">
        <v>70</v>
      </c>
      <c r="V19" s="8" t="s">
        <v>70</v>
      </c>
      <c r="W19" s="8" t="s">
        <v>70</v>
      </c>
      <c r="X19" s="8" t="s">
        <v>70</v>
      </c>
      <c r="Y19" s="8"/>
      <c r="Z19" s="8" t="s">
        <v>70</v>
      </c>
      <c r="AA19" s="8" t="s">
        <v>70</v>
      </c>
      <c r="AB19" s="8" t="s">
        <v>70</v>
      </c>
      <c r="AC19" s="8" t="s">
        <v>70</v>
      </c>
      <c r="AD19" s="8" t="s">
        <v>70</v>
      </c>
      <c r="AE19" s="8" t="s">
        <v>70</v>
      </c>
      <c r="AF19" s="8"/>
      <c r="AG19" s="8" t="s">
        <v>70</v>
      </c>
      <c r="AH19" s="9"/>
      <c r="AI19" s="8">
        <f t="shared" si="4"/>
        <v>25</v>
      </c>
      <c r="AJ19" s="8">
        <f t="shared" si="2"/>
        <v>25</v>
      </c>
      <c r="AK19" s="10">
        <f t="shared" si="3"/>
        <v>0</v>
      </c>
    </row>
    <row r="20" spans="2:37" ht="17.399999999999999" x14ac:dyDescent="0.3">
      <c r="B20" s="7">
        <v>3439</v>
      </c>
      <c r="C20" s="1" t="s">
        <v>16</v>
      </c>
      <c r="D20" s="8"/>
      <c r="E20" s="8" t="s">
        <v>70</v>
      </c>
      <c r="F20" s="8" t="s">
        <v>70</v>
      </c>
      <c r="G20" s="8" t="s">
        <v>70</v>
      </c>
      <c r="H20" s="8" t="s">
        <v>70</v>
      </c>
      <c r="I20" s="8" t="s">
        <v>70</v>
      </c>
      <c r="J20" s="8" t="s">
        <v>70</v>
      </c>
      <c r="K20" s="8"/>
      <c r="L20" s="8" t="s">
        <v>70</v>
      </c>
      <c r="M20" s="8" t="s">
        <v>70</v>
      </c>
      <c r="N20" s="8" t="s">
        <v>70</v>
      </c>
      <c r="O20" s="8" t="s">
        <v>70</v>
      </c>
      <c r="P20" s="8" t="s">
        <v>70</v>
      </c>
      <c r="Q20" s="8" t="s">
        <v>70</v>
      </c>
      <c r="R20" s="8"/>
      <c r="S20" s="8" t="s">
        <v>70</v>
      </c>
      <c r="T20" s="8" t="s">
        <v>70</v>
      </c>
      <c r="U20" s="8" t="s">
        <v>70</v>
      </c>
      <c r="V20" s="8" t="s">
        <v>70</v>
      </c>
      <c r="W20" s="8" t="s">
        <v>70</v>
      </c>
      <c r="X20" s="8" t="s">
        <v>70</v>
      </c>
      <c r="Y20" s="8"/>
      <c r="Z20" s="8" t="s">
        <v>70</v>
      </c>
      <c r="AA20" s="8" t="s">
        <v>70</v>
      </c>
      <c r="AB20" s="8" t="s">
        <v>70</v>
      </c>
      <c r="AC20" s="8" t="s">
        <v>70</v>
      </c>
      <c r="AD20" s="8" t="s">
        <v>70</v>
      </c>
      <c r="AE20" s="8" t="s">
        <v>70</v>
      </c>
      <c r="AF20" s="8"/>
      <c r="AG20" s="8" t="s">
        <v>71</v>
      </c>
      <c r="AH20" s="9"/>
      <c r="AI20" s="8">
        <f t="shared" si="4"/>
        <v>25</v>
      </c>
      <c r="AJ20" s="8">
        <f t="shared" si="2"/>
        <v>24</v>
      </c>
      <c r="AK20" s="10">
        <f t="shared" si="3"/>
        <v>1</v>
      </c>
    </row>
    <row r="21" spans="2:37" ht="17.399999999999999" x14ac:dyDescent="0.3">
      <c r="B21" s="7">
        <v>3440</v>
      </c>
      <c r="C21" s="1" t="s">
        <v>17</v>
      </c>
      <c r="D21" s="8"/>
      <c r="E21" s="8" t="s">
        <v>70</v>
      </c>
      <c r="F21" s="8" t="s">
        <v>70</v>
      </c>
      <c r="G21" s="8" t="s">
        <v>70</v>
      </c>
      <c r="H21" s="8" t="s">
        <v>70</v>
      </c>
      <c r="I21" s="8" t="s">
        <v>70</v>
      </c>
      <c r="J21" s="8" t="s">
        <v>70</v>
      </c>
      <c r="K21" s="8"/>
      <c r="L21" s="8" t="s">
        <v>70</v>
      </c>
      <c r="M21" s="8" t="s">
        <v>70</v>
      </c>
      <c r="N21" s="8" t="s">
        <v>70</v>
      </c>
      <c r="O21" s="8" t="s">
        <v>70</v>
      </c>
      <c r="P21" s="8" t="s">
        <v>70</v>
      </c>
      <c r="Q21" s="8" t="s">
        <v>70</v>
      </c>
      <c r="R21" s="8"/>
      <c r="S21" s="8" t="s">
        <v>70</v>
      </c>
      <c r="T21" s="8" t="s">
        <v>70</v>
      </c>
      <c r="U21" s="8" t="s">
        <v>70</v>
      </c>
      <c r="V21" s="8" t="s">
        <v>70</v>
      </c>
      <c r="W21" s="8" t="s">
        <v>70</v>
      </c>
      <c r="X21" s="8" t="s">
        <v>70</v>
      </c>
      <c r="Y21" s="8"/>
      <c r="Z21" s="8" t="s">
        <v>70</v>
      </c>
      <c r="AA21" s="8" t="s">
        <v>70</v>
      </c>
      <c r="AB21" s="8" t="s">
        <v>70</v>
      </c>
      <c r="AC21" s="8" t="s">
        <v>70</v>
      </c>
      <c r="AD21" s="8" t="s">
        <v>70</v>
      </c>
      <c r="AE21" s="8" t="s">
        <v>70</v>
      </c>
      <c r="AF21" s="8"/>
      <c r="AG21" s="8" t="s">
        <v>70</v>
      </c>
      <c r="AH21" s="9"/>
      <c r="AI21" s="8">
        <f t="shared" si="4"/>
        <v>25</v>
      </c>
      <c r="AJ21" s="8">
        <f t="shared" si="2"/>
        <v>25</v>
      </c>
      <c r="AK21" s="10">
        <f t="shared" si="3"/>
        <v>0</v>
      </c>
    </row>
    <row r="22" spans="2:37" ht="17.399999999999999" x14ac:dyDescent="0.3">
      <c r="B22" s="7">
        <v>3441</v>
      </c>
      <c r="C22" s="1" t="s">
        <v>18</v>
      </c>
      <c r="D22" s="8"/>
      <c r="E22" s="8" t="s">
        <v>70</v>
      </c>
      <c r="F22" s="8" t="s">
        <v>70</v>
      </c>
      <c r="G22" s="8" t="s">
        <v>70</v>
      </c>
      <c r="H22" s="8" t="s">
        <v>70</v>
      </c>
      <c r="I22" s="8" t="s">
        <v>70</v>
      </c>
      <c r="J22" s="8" t="s">
        <v>71</v>
      </c>
      <c r="K22" s="8"/>
      <c r="L22" s="8" t="s">
        <v>70</v>
      </c>
      <c r="M22" s="8" t="s">
        <v>70</v>
      </c>
      <c r="N22" s="8" t="s">
        <v>70</v>
      </c>
      <c r="O22" s="8" t="s">
        <v>70</v>
      </c>
      <c r="P22" s="8" t="s">
        <v>70</v>
      </c>
      <c r="Q22" s="8" t="s">
        <v>70</v>
      </c>
      <c r="R22" s="8"/>
      <c r="S22" s="8" t="s">
        <v>70</v>
      </c>
      <c r="T22" s="8" t="s">
        <v>70</v>
      </c>
      <c r="U22" s="8" t="s">
        <v>70</v>
      </c>
      <c r="V22" s="8" t="s">
        <v>70</v>
      </c>
      <c r="W22" s="8" t="s">
        <v>70</v>
      </c>
      <c r="X22" s="8" t="s">
        <v>70</v>
      </c>
      <c r="Y22" s="8"/>
      <c r="Z22" s="8" t="s">
        <v>70</v>
      </c>
      <c r="AA22" s="8" t="s">
        <v>70</v>
      </c>
      <c r="AB22" s="8" t="s">
        <v>70</v>
      </c>
      <c r="AC22" s="8" t="s">
        <v>70</v>
      </c>
      <c r="AD22" s="8" t="s">
        <v>70</v>
      </c>
      <c r="AE22" s="8" t="s">
        <v>70</v>
      </c>
      <c r="AF22" s="8"/>
      <c r="AG22" s="8" t="s">
        <v>70</v>
      </c>
      <c r="AH22" s="9"/>
      <c r="AI22" s="8">
        <f t="shared" si="4"/>
        <v>25</v>
      </c>
      <c r="AJ22" s="8">
        <f t="shared" si="2"/>
        <v>24</v>
      </c>
      <c r="AK22" s="10">
        <f t="shared" si="3"/>
        <v>1</v>
      </c>
    </row>
    <row r="23" spans="2:37" ht="17.399999999999999" x14ac:dyDescent="0.3">
      <c r="B23" s="7">
        <v>3442</v>
      </c>
      <c r="C23" s="1" t="s">
        <v>19</v>
      </c>
      <c r="D23" s="8"/>
      <c r="E23" s="8" t="s">
        <v>70</v>
      </c>
      <c r="F23" s="8" t="s">
        <v>70</v>
      </c>
      <c r="G23" s="8" t="s">
        <v>70</v>
      </c>
      <c r="H23" s="8" t="s">
        <v>70</v>
      </c>
      <c r="I23" s="8" t="s">
        <v>70</v>
      </c>
      <c r="J23" s="8" t="s">
        <v>70</v>
      </c>
      <c r="K23" s="8"/>
      <c r="L23" s="8" t="s">
        <v>70</v>
      </c>
      <c r="M23" s="8" t="s">
        <v>70</v>
      </c>
      <c r="N23" s="8" t="s">
        <v>70</v>
      </c>
      <c r="O23" s="8" t="s">
        <v>70</v>
      </c>
      <c r="P23" s="8" t="s">
        <v>70</v>
      </c>
      <c r="Q23" s="8" t="s">
        <v>70</v>
      </c>
      <c r="R23" s="8"/>
      <c r="S23" s="8" t="s">
        <v>70</v>
      </c>
      <c r="T23" s="8" t="s">
        <v>70</v>
      </c>
      <c r="U23" s="8" t="s">
        <v>70</v>
      </c>
      <c r="V23" s="8" t="s">
        <v>70</v>
      </c>
      <c r="W23" s="8" t="s">
        <v>70</v>
      </c>
      <c r="X23" s="8" t="s">
        <v>70</v>
      </c>
      <c r="Y23" s="8"/>
      <c r="Z23" s="8" t="s">
        <v>70</v>
      </c>
      <c r="AA23" s="8" t="s">
        <v>70</v>
      </c>
      <c r="AB23" s="8" t="s">
        <v>70</v>
      </c>
      <c r="AC23" s="8" t="s">
        <v>70</v>
      </c>
      <c r="AD23" s="8" t="s">
        <v>70</v>
      </c>
      <c r="AE23" s="8" t="s">
        <v>70</v>
      </c>
      <c r="AF23" s="8"/>
      <c r="AG23" s="8" t="s">
        <v>70</v>
      </c>
      <c r="AH23" s="9"/>
      <c r="AI23" s="8">
        <f t="shared" si="4"/>
        <v>25</v>
      </c>
      <c r="AJ23" s="8">
        <f t="shared" si="2"/>
        <v>25</v>
      </c>
      <c r="AK23" s="10">
        <f t="shared" si="3"/>
        <v>0</v>
      </c>
    </row>
    <row r="24" spans="2:37" ht="17.399999999999999" x14ac:dyDescent="0.3">
      <c r="B24" s="7">
        <v>3443</v>
      </c>
      <c r="C24" s="1" t="s">
        <v>20</v>
      </c>
      <c r="D24" s="8"/>
      <c r="E24" s="8" t="s">
        <v>70</v>
      </c>
      <c r="F24" s="8" t="s">
        <v>70</v>
      </c>
      <c r="G24" s="8" t="s">
        <v>71</v>
      </c>
      <c r="H24" s="8" t="s">
        <v>70</v>
      </c>
      <c r="I24" s="8" t="s">
        <v>70</v>
      </c>
      <c r="J24" s="8" t="s">
        <v>70</v>
      </c>
      <c r="K24" s="8"/>
      <c r="L24" s="8" t="s">
        <v>70</v>
      </c>
      <c r="M24" s="8" t="s">
        <v>70</v>
      </c>
      <c r="N24" s="8" t="s">
        <v>70</v>
      </c>
      <c r="O24" s="8" t="s">
        <v>70</v>
      </c>
      <c r="P24" s="8" t="s">
        <v>70</v>
      </c>
      <c r="Q24" s="8" t="s">
        <v>70</v>
      </c>
      <c r="R24" s="8"/>
      <c r="S24" s="8" t="s">
        <v>70</v>
      </c>
      <c r="T24" s="8" t="s">
        <v>70</v>
      </c>
      <c r="U24" s="8" t="s">
        <v>70</v>
      </c>
      <c r="V24" s="8" t="s">
        <v>70</v>
      </c>
      <c r="W24" s="8" t="s">
        <v>70</v>
      </c>
      <c r="X24" s="8" t="s">
        <v>70</v>
      </c>
      <c r="Y24" s="8"/>
      <c r="Z24" s="8" t="s">
        <v>70</v>
      </c>
      <c r="AA24" s="8" t="s">
        <v>70</v>
      </c>
      <c r="AB24" s="8" t="s">
        <v>70</v>
      </c>
      <c r="AC24" s="8" t="s">
        <v>70</v>
      </c>
      <c r="AD24" s="8" t="s">
        <v>70</v>
      </c>
      <c r="AE24" s="8" t="s">
        <v>70</v>
      </c>
      <c r="AF24" s="8"/>
      <c r="AG24" s="8" t="s">
        <v>70</v>
      </c>
      <c r="AH24" s="9"/>
      <c r="AI24" s="8">
        <f t="shared" si="4"/>
        <v>25</v>
      </c>
      <c r="AJ24" s="8">
        <f t="shared" si="2"/>
        <v>24</v>
      </c>
      <c r="AK24" s="10">
        <f t="shared" si="3"/>
        <v>1</v>
      </c>
    </row>
    <row r="25" spans="2:37" ht="17.399999999999999" x14ac:dyDescent="0.3">
      <c r="B25" s="7">
        <v>3444</v>
      </c>
      <c r="C25" s="1" t="s">
        <v>21</v>
      </c>
      <c r="D25" s="8"/>
      <c r="E25" s="8" t="s">
        <v>70</v>
      </c>
      <c r="F25" s="8" t="s">
        <v>70</v>
      </c>
      <c r="G25" s="8" t="s">
        <v>70</v>
      </c>
      <c r="H25" s="8" t="s">
        <v>70</v>
      </c>
      <c r="I25" s="8" t="s">
        <v>70</v>
      </c>
      <c r="J25" s="8" t="s">
        <v>70</v>
      </c>
      <c r="K25" s="8"/>
      <c r="L25" s="8" t="s">
        <v>70</v>
      </c>
      <c r="M25" s="8" t="s">
        <v>70</v>
      </c>
      <c r="N25" s="8" t="s">
        <v>70</v>
      </c>
      <c r="O25" s="8" t="s">
        <v>70</v>
      </c>
      <c r="P25" s="8" t="s">
        <v>70</v>
      </c>
      <c r="Q25" s="8" t="s">
        <v>70</v>
      </c>
      <c r="R25" s="8"/>
      <c r="S25" s="8" t="s">
        <v>70</v>
      </c>
      <c r="T25" s="8" t="s">
        <v>70</v>
      </c>
      <c r="U25" s="8" t="s">
        <v>70</v>
      </c>
      <c r="V25" s="8" t="s">
        <v>70</v>
      </c>
      <c r="W25" s="8" t="s">
        <v>70</v>
      </c>
      <c r="X25" s="8" t="s">
        <v>70</v>
      </c>
      <c r="Y25" s="8"/>
      <c r="Z25" s="8" t="s">
        <v>70</v>
      </c>
      <c r="AA25" s="8" t="s">
        <v>70</v>
      </c>
      <c r="AB25" s="8" t="s">
        <v>70</v>
      </c>
      <c r="AC25" s="8" t="s">
        <v>70</v>
      </c>
      <c r="AD25" s="8" t="s">
        <v>70</v>
      </c>
      <c r="AE25" s="8" t="s">
        <v>70</v>
      </c>
      <c r="AF25" s="8"/>
      <c r="AG25" s="8" t="s">
        <v>70</v>
      </c>
      <c r="AH25" s="9"/>
      <c r="AI25" s="8">
        <f t="shared" si="4"/>
        <v>25</v>
      </c>
      <c r="AJ25" s="8">
        <f t="shared" si="2"/>
        <v>25</v>
      </c>
      <c r="AK25" s="10">
        <f t="shared" si="3"/>
        <v>0</v>
      </c>
    </row>
    <row r="26" spans="2:37" ht="17.399999999999999" x14ac:dyDescent="0.3">
      <c r="B26" s="7">
        <v>3445</v>
      </c>
      <c r="C26" s="1" t="s">
        <v>22</v>
      </c>
      <c r="D26" s="8"/>
      <c r="E26" s="8" t="s">
        <v>70</v>
      </c>
      <c r="F26" s="8" t="s">
        <v>70</v>
      </c>
      <c r="G26" s="8" t="s">
        <v>70</v>
      </c>
      <c r="H26" s="8" t="s">
        <v>70</v>
      </c>
      <c r="I26" s="8" t="s">
        <v>70</v>
      </c>
      <c r="J26" s="8" t="s">
        <v>70</v>
      </c>
      <c r="K26" s="8"/>
      <c r="L26" s="8" t="s">
        <v>70</v>
      </c>
      <c r="M26" s="8" t="s">
        <v>70</v>
      </c>
      <c r="N26" s="8" t="s">
        <v>70</v>
      </c>
      <c r="O26" s="8" t="s">
        <v>70</v>
      </c>
      <c r="P26" s="8" t="s">
        <v>70</v>
      </c>
      <c r="Q26" s="8" t="s">
        <v>70</v>
      </c>
      <c r="R26" s="8"/>
      <c r="S26" s="8" t="s">
        <v>70</v>
      </c>
      <c r="T26" s="8" t="s">
        <v>70</v>
      </c>
      <c r="U26" s="8" t="s">
        <v>70</v>
      </c>
      <c r="V26" s="8" t="s">
        <v>70</v>
      </c>
      <c r="W26" s="8" t="s">
        <v>70</v>
      </c>
      <c r="X26" s="8" t="s">
        <v>70</v>
      </c>
      <c r="Y26" s="8"/>
      <c r="Z26" s="8" t="s">
        <v>70</v>
      </c>
      <c r="AA26" s="8" t="s">
        <v>70</v>
      </c>
      <c r="AB26" s="8" t="s">
        <v>70</v>
      </c>
      <c r="AC26" s="8" t="s">
        <v>70</v>
      </c>
      <c r="AD26" s="8" t="s">
        <v>70</v>
      </c>
      <c r="AE26" s="8" t="s">
        <v>70</v>
      </c>
      <c r="AF26" s="8"/>
      <c r="AG26" s="8" t="s">
        <v>70</v>
      </c>
      <c r="AH26" s="9"/>
      <c r="AI26" s="8">
        <f t="shared" si="4"/>
        <v>25</v>
      </c>
      <c r="AJ26" s="8">
        <f t="shared" si="2"/>
        <v>25</v>
      </c>
      <c r="AK26" s="10">
        <f t="shared" si="3"/>
        <v>0</v>
      </c>
    </row>
    <row r="27" spans="2:37" ht="17.399999999999999" x14ac:dyDescent="0.3">
      <c r="B27" s="7">
        <v>3446</v>
      </c>
      <c r="C27" s="1" t="s">
        <v>23</v>
      </c>
      <c r="D27" s="8"/>
      <c r="E27" s="8" t="s">
        <v>70</v>
      </c>
      <c r="F27" s="8" t="s">
        <v>70</v>
      </c>
      <c r="G27" s="8" t="s">
        <v>70</v>
      </c>
      <c r="H27" s="8" t="s">
        <v>70</v>
      </c>
      <c r="I27" s="8" t="s">
        <v>70</v>
      </c>
      <c r="J27" s="8" t="s">
        <v>70</v>
      </c>
      <c r="K27" s="8"/>
      <c r="L27" s="8" t="s">
        <v>70</v>
      </c>
      <c r="M27" s="8" t="s">
        <v>70</v>
      </c>
      <c r="N27" s="8" t="s">
        <v>70</v>
      </c>
      <c r="O27" s="8" t="s">
        <v>70</v>
      </c>
      <c r="P27" s="8" t="s">
        <v>70</v>
      </c>
      <c r="Q27" s="8" t="s">
        <v>70</v>
      </c>
      <c r="R27" s="8"/>
      <c r="S27" s="8" t="s">
        <v>70</v>
      </c>
      <c r="T27" s="8" t="s">
        <v>70</v>
      </c>
      <c r="U27" s="8" t="s">
        <v>70</v>
      </c>
      <c r="V27" s="8" t="s">
        <v>70</v>
      </c>
      <c r="W27" s="8" t="s">
        <v>70</v>
      </c>
      <c r="X27" s="8" t="s">
        <v>70</v>
      </c>
      <c r="Y27" s="8"/>
      <c r="Z27" s="8" t="s">
        <v>70</v>
      </c>
      <c r="AA27" s="8" t="s">
        <v>70</v>
      </c>
      <c r="AB27" s="8" t="s">
        <v>70</v>
      </c>
      <c r="AC27" s="8" t="s">
        <v>70</v>
      </c>
      <c r="AD27" s="8" t="s">
        <v>70</v>
      </c>
      <c r="AE27" s="8" t="s">
        <v>70</v>
      </c>
      <c r="AF27" s="8"/>
      <c r="AG27" s="8" t="s">
        <v>70</v>
      </c>
      <c r="AH27" s="9"/>
      <c r="AI27" s="8">
        <f t="shared" si="4"/>
        <v>25</v>
      </c>
      <c r="AJ27" s="8">
        <f t="shared" si="2"/>
        <v>25</v>
      </c>
      <c r="AK27" s="10">
        <f t="shared" si="3"/>
        <v>0</v>
      </c>
    </row>
  </sheetData>
  <mergeCells count="7">
    <mergeCell ref="B2:C2"/>
    <mergeCell ref="D2:AL5"/>
    <mergeCell ref="B6:B7"/>
    <mergeCell ref="C6:C7"/>
    <mergeCell ref="AI6:AI7"/>
    <mergeCell ref="AJ6:AJ7"/>
    <mergeCell ref="AK6:AK7"/>
  </mergeCells>
  <conditionalFormatting sqref="D8:AG27">
    <cfRule type="containsText" dxfId="27" priority="1" operator="containsText" text="A">
      <formula>NOT(ISERROR(SEARCH("A",D8)))</formula>
    </cfRule>
    <cfRule type="expression" dxfId="26" priority="5">
      <formula>D$6="Sun"</formula>
    </cfRule>
    <cfRule type="expression" dxfId="25" priority="6">
      <formula>D$6="Sun"</formula>
    </cfRule>
  </conditionalFormatting>
  <conditionalFormatting sqref="D6:AK7">
    <cfRule type="notContainsBlanks" dxfId="24" priority="2">
      <formula>LEN(TRIM(D6))&gt;0</formula>
    </cfRule>
    <cfRule type="notContainsBlanks" dxfId="23" priority="3">
      <formula>LEN(TRIM(D6))&gt;0</formula>
    </cfRule>
  </conditionalFormatting>
  <conditionalFormatting sqref="AH7">
    <cfRule type="expression" dxfId="22" priority="14">
      <formula>AH$7&lt;&gt;""</formula>
    </cfRule>
  </conditionalFormatting>
  <conditionalFormatting sqref="AH6:AK6 D6:AG27 AI7:AK7 AH8:AK27">
    <cfRule type="expression" dxfId="21" priority="4">
      <formula>D$6&lt;&gt;""</formula>
    </cfRule>
  </conditionalFormatting>
  <dataValidations count="5">
    <dataValidation type="custom" allowBlank="1" showInputMessage="1" showErrorMessage="1" errorTitle="Info" error="Week Off" sqref="AI6:AK27 AH6 AH8:AH27" xr:uid="{00000000-0002-0000-0D00-000000000000}">
      <formula1>AH$6&lt;&gt;""</formula1>
    </dataValidation>
    <dataValidation type="list" allowBlank="1" showInputMessage="1" showErrorMessage="1" sqref="C4" xr:uid="{00000000-0002-0000-0D00-000001000000}">
      <formula1>"2024"</formula1>
    </dataValidation>
    <dataValidation type="list" allowBlank="1" showInputMessage="1" showErrorMessage="1" sqref="C3" xr:uid="{00000000-0002-0000-0D00-000002000000}">
      <formula1>"JANUARY,FEBRUARY,MARCH,APRIL,MAY,JUNE,JULY,AUGUST,SEPTEMBER,OCTOBER,NOVEMBER,DECEMBER"</formula1>
    </dataValidation>
    <dataValidation type="custom" allowBlank="1" showInputMessage="1" showErrorMessage="1" errorTitle="Info" error="Week Off" sqref="AH7" xr:uid="{00000000-0002-0000-0D00-000003000000}">
      <formula1>AH$7&lt;&gt;"Sun"</formula1>
    </dataValidation>
    <dataValidation type="custom" allowBlank="1" showInputMessage="1" showErrorMessage="1" errorTitle="Info" error="Week Off" sqref="D6:AG20 D21:AB27 AD21:AG27 AC21:AC27" xr:uid="{00000000-0002-0000-0D00-000004000000}">
      <formula1>D$6&lt;&gt;"Sun"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L27"/>
  <sheetViews>
    <sheetView showGridLines="0" zoomScale="50" zoomScaleNormal="50" workbookViewId="0"/>
  </sheetViews>
  <sheetFormatPr defaultRowHeight="14.4" x14ac:dyDescent="0.3"/>
  <cols>
    <col min="1" max="1" width="27.6640625" customWidth="1"/>
    <col min="2" max="2" width="19.44140625" bestFit="1" customWidth="1"/>
    <col min="3" max="3" width="20.88671875" bestFit="1" customWidth="1"/>
    <col min="4" max="34" width="8" bestFit="1" customWidth="1"/>
    <col min="36" max="36" width="18.33203125" bestFit="1" customWidth="1"/>
    <col min="37" max="37" width="5.33203125" bestFit="1" customWidth="1"/>
    <col min="38" max="38" width="3.6640625" bestFit="1" customWidth="1"/>
  </cols>
  <sheetData>
    <row r="1" spans="1:38" ht="37.5" customHeight="1" thickBot="1" x14ac:dyDescent="0.35"/>
    <row r="2" spans="1:38" ht="55.2" x14ac:dyDescent="1.3">
      <c r="A2" s="199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21" x14ac:dyDescent="0.4">
      <c r="B3" s="11" t="s">
        <v>64</v>
      </c>
      <c r="C3" s="12" t="s">
        <v>66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1" x14ac:dyDescent="0.4">
      <c r="B4" s="11" t="s">
        <v>65</v>
      </c>
      <c r="C4" s="1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18.600000000000001" thickBot="1" x14ac:dyDescent="0.4">
      <c r="B5" s="3">
        <f>DATEVALUE("1"&amp;C3&amp;C4)</f>
        <v>45292</v>
      </c>
      <c r="C5" s="2">
        <f>EOMONTH(B5,0)</f>
        <v>45322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31.8" x14ac:dyDescent="0.35">
      <c r="B6" s="298" t="s">
        <v>2</v>
      </c>
      <c r="C6" s="299" t="s">
        <v>3</v>
      </c>
      <c r="D6" s="4" t="str">
        <f>TEXT(D7,"DDD")</f>
        <v>Mon</v>
      </c>
      <c r="E6" s="4" t="str">
        <f t="shared" ref="E6:AH6" si="0">TEXT(E7,"DDD")</f>
        <v>Tue</v>
      </c>
      <c r="F6" s="4" t="str">
        <f t="shared" si="0"/>
        <v>Wed</v>
      </c>
      <c r="G6" s="4" t="str">
        <f t="shared" si="0"/>
        <v>Thu</v>
      </c>
      <c r="H6" s="4" t="str">
        <f t="shared" si="0"/>
        <v>Fri</v>
      </c>
      <c r="I6" s="4" t="str">
        <f t="shared" si="0"/>
        <v>Sat</v>
      </c>
      <c r="J6" s="4" t="str">
        <f t="shared" si="0"/>
        <v>Sun</v>
      </c>
      <c r="K6" s="4" t="str">
        <f t="shared" si="0"/>
        <v>Mon</v>
      </c>
      <c r="L6" s="4" t="str">
        <f t="shared" si="0"/>
        <v>Tue</v>
      </c>
      <c r="M6" s="4" t="str">
        <f t="shared" si="0"/>
        <v>Wed</v>
      </c>
      <c r="N6" s="4" t="str">
        <f t="shared" si="0"/>
        <v>Thu</v>
      </c>
      <c r="O6" s="4" t="str">
        <f t="shared" si="0"/>
        <v>Fri</v>
      </c>
      <c r="P6" s="4" t="str">
        <f t="shared" si="0"/>
        <v>Sat</v>
      </c>
      <c r="Q6" s="4" t="str">
        <f t="shared" si="0"/>
        <v>Sun</v>
      </c>
      <c r="R6" s="4" t="str">
        <f t="shared" si="0"/>
        <v>Mon</v>
      </c>
      <c r="S6" s="4" t="str">
        <f t="shared" si="0"/>
        <v>Tue</v>
      </c>
      <c r="T6" s="4" t="str">
        <f t="shared" si="0"/>
        <v>Wed</v>
      </c>
      <c r="U6" s="4" t="str">
        <f t="shared" si="0"/>
        <v>Thu</v>
      </c>
      <c r="V6" s="4" t="str">
        <f t="shared" si="0"/>
        <v>Fri</v>
      </c>
      <c r="W6" s="4" t="str">
        <f t="shared" si="0"/>
        <v>Sat</v>
      </c>
      <c r="X6" s="4" t="str">
        <f t="shared" si="0"/>
        <v>Sun</v>
      </c>
      <c r="Y6" s="4" t="str">
        <f t="shared" si="0"/>
        <v>Mon</v>
      </c>
      <c r="Z6" s="4" t="str">
        <f t="shared" si="0"/>
        <v>Tue</v>
      </c>
      <c r="AA6" s="4" t="str">
        <f t="shared" si="0"/>
        <v>Wed</v>
      </c>
      <c r="AB6" s="4" t="str">
        <f t="shared" si="0"/>
        <v>Thu</v>
      </c>
      <c r="AC6" s="4" t="str">
        <f t="shared" si="0"/>
        <v>Fri</v>
      </c>
      <c r="AD6" s="4" t="str">
        <f t="shared" si="0"/>
        <v>Sat</v>
      </c>
      <c r="AE6" s="4" t="str">
        <f t="shared" si="0"/>
        <v>Sun</v>
      </c>
      <c r="AF6" s="4" t="str">
        <f t="shared" si="0"/>
        <v>Mon</v>
      </c>
      <c r="AG6" s="4" t="str">
        <f t="shared" si="0"/>
        <v>Tue</v>
      </c>
      <c r="AH6" s="4" t="str">
        <f t="shared" si="0"/>
        <v>Wed</v>
      </c>
      <c r="AI6" s="5"/>
      <c r="AJ6" s="300" t="s">
        <v>69</v>
      </c>
      <c r="AK6" s="300" t="s">
        <v>70</v>
      </c>
      <c r="AL6" s="301" t="s">
        <v>71</v>
      </c>
    </row>
    <row r="7" spans="1:38" ht="18" x14ac:dyDescent="0.35">
      <c r="B7" s="281"/>
      <c r="C7" s="282"/>
      <c r="D7" s="6">
        <f>B5</f>
        <v>45292</v>
      </c>
      <c r="E7" s="6">
        <f>IFERROR(IF(D7+1&gt;$C$5,"",D7+1),"")</f>
        <v>45293</v>
      </c>
      <c r="F7" s="6">
        <f t="shared" ref="F7:AG7" si="1">IFERROR(IF(E7+1&gt;$C$5,"",E7+1),"")</f>
        <v>45294</v>
      </c>
      <c r="G7" s="6">
        <f t="shared" si="1"/>
        <v>45295</v>
      </c>
      <c r="H7" s="6">
        <f t="shared" si="1"/>
        <v>45296</v>
      </c>
      <c r="I7" s="6">
        <f t="shared" si="1"/>
        <v>45297</v>
      </c>
      <c r="J7" s="6">
        <f t="shared" si="1"/>
        <v>45298</v>
      </c>
      <c r="K7" s="6">
        <f t="shared" si="1"/>
        <v>45299</v>
      </c>
      <c r="L7" s="6">
        <f t="shared" si="1"/>
        <v>45300</v>
      </c>
      <c r="M7" s="6">
        <f t="shared" si="1"/>
        <v>45301</v>
      </c>
      <c r="N7" s="6">
        <f t="shared" si="1"/>
        <v>45302</v>
      </c>
      <c r="O7" s="6">
        <f t="shared" si="1"/>
        <v>45303</v>
      </c>
      <c r="P7" s="6">
        <f t="shared" si="1"/>
        <v>45304</v>
      </c>
      <c r="Q7" s="6">
        <f t="shared" si="1"/>
        <v>45305</v>
      </c>
      <c r="R7" s="6">
        <f t="shared" si="1"/>
        <v>45306</v>
      </c>
      <c r="S7" s="6">
        <f>IFERROR(IF(R7+1&gt;$C$5,"",R7+1),"")</f>
        <v>45307</v>
      </c>
      <c r="T7" s="6">
        <f t="shared" si="1"/>
        <v>45308</v>
      </c>
      <c r="U7" s="6">
        <f t="shared" si="1"/>
        <v>45309</v>
      </c>
      <c r="V7" s="6">
        <f t="shared" si="1"/>
        <v>45310</v>
      </c>
      <c r="W7" s="6">
        <f t="shared" si="1"/>
        <v>45311</v>
      </c>
      <c r="X7" s="6">
        <f t="shared" si="1"/>
        <v>45312</v>
      </c>
      <c r="Y7" s="6">
        <f t="shared" si="1"/>
        <v>45313</v>
      </c>
      <c r="Z7" s="6">
        <f>IFERROR(IF(Y7+1&gt;$C$5,"",Y7+1),"")</f>
        <v>45314</v>
      </c>
      <c r="AA7" s="6">
        <f t="shared" si="1"/>
        <v>45315</v>
      </c>
      <c r="AB7" s="6">
        <f t="shared" si="1"/>
        <v>45316</v>
      </c>
      <c r="AC7" s="6">
        <f t="shared" si="1"/>
        <v>45317</v>
      </c>
      <c r="AD7" s="6">
        <f t="shared" si="1"/>
        <v>45318</v>
      </c>
      <c r="AE7" s="6">
        <f t="shared" si="1"/>
        <v>45319</v>
      </c>
      <c r="AF7" s="6">
        <f t="shared" si="1"/>
        <v>45320</v>
      </c>
      <c r="AG7" s="6">
        <f t="shared" si="1"/>
        <v>45321</v>
      </c>
      <c r="AH7" s="6">
        <f>IFERROR(IF(AG7+1&gt;$C$5,"",AG7+1),"")</f>
        <v>45322</v>
      </c>
      <c r="AI7" s="5"/>
      <c r="AJ7" s="300"/>
      <c r="AK7" s="300"/>
      <c r="AL7" s="301"/>
    </row>
    <row r="8" spans="1:38" ht="17.399999999999999" x14ac:dyDescent="0.3">
      <c r="B8" s="7">
        <v>3427</v>
      </c>
      <c r="C8" s="1" t="s">
        <v>4</v>
      </c>
      <c r="D8" s="8" t="s">
        <v>70</v>
      </c>
      <c r="E8" s="8" t="s">
        <v>70</v>
      </c>
      <c r="F8" s="8" t="s">
        <v>70</v>
      </c>
      <c r="G8" s="8" t="s">
        <v>70</v>
      </c>
      <c r="H8" s="8" t="s">
        <v>70</v>
      </c>
      <c r="I8" s="8" t="s">
        <v>70</v>
      </c>
      <c r="J8" s="8"/>
      <c r="K8" s="8" t="s">
        <v>70</v>
      </c>
      <c r="L8" s="8" t="s">
        <v>70</v>
      </c>
      <c r="M8" s="8" t="s">
        <v>70</v>
      </c>
      <c r="N8" s="8" t="s">
        <v>70</v>
      </c>
      <c r="O8" s="8" t="s">
        <v>70</v>
      </c>
      <c r="P8" s="8" t="s">
        <v>70</v>
      </c>
      <c r="Q8" s="8"/>
      <c r="R8" s="8" t="s">
        <v>70</v>
      </c>
      <c r="S8" s="8" t="s">
        <v>70</v>
      </c>
      <c r="T8" s="8" t="s">
        <v>70</v>
      </c>
      <c r="U8" s="8" t="s">
        <v>70</v>
      </c>
      <c r="V8" s="8" t="s">
        <v>71</v>
      </c>
      <c r="W8" s="8" t="s">
        <v>70</v>
      </c>
      <c r="X8" s="8"/>
      <c r="Y8" s="8" t="s">
        <v>70</v>
      </c>
      <c r="Z8" s="8" t="s">
        <v>70</v>
      </c>
      <c r="AA8" s="8" t="s">
        <v>70</v>
      </c>
      <c r="AB8" s="8" t="s">
        <v>70</v>
      </c>
      <c r="AC8" s="8" t="s">
        <v>70</v>
      </c>
      <c r="AD8" s="8" t="s">
        <v>70</v>
      </c>
      <c r="AE8" s="8"/>
      <c r="AF8" s="8" t="s">
        <v>70</v>
      </c>
      <c r="AG8" s="8" t="s">
        <v>70</v>
      </c>
      <c r="AH8" s="8" t="s">
        <v>70</v>
      </c>
      <c r="AI8" s="9"/>
      <c r="AJ8" s="8">
        <f>SUM(AK8,AL8)</f>
        <v>27</v>
      </c>
      <c r="AK8" s="8">
        <f>COUNTIF(D8:AH8,AK$6)</f>
        <v>26</v>
      </c>
      <c r="AL8" s="10">
        <f>COUNTIF(E8:AI8,AL$6)</f>
        <v>1</v>
      </c>
    </row>
    <row r="9" spans="1:38" ht="17.399999999999999" x14ac:dyDescent="0.3">
      <c r="B9" s="7">
        <v>3428</v>
      </c>
      <c r="C9" s="1" t="s">
        <v>5</v>
      </c>
      <c r="D9" s="8" t="s">
        <v>70</v>
      </c>
      <c r="E9" s="8" t="s">
        <v>70</v>
      </c>
      <c r="F9" s="8" t="s">
        <v>70</v>
      </c>
      <c r="G9" s="8" t="s">
        <v>70</v>
      </c>
      <c r="H9" s="8" t="s">
        <v>70</v>
      </c>
      <c r="I9" s="8" t="s">
        <v>70</v>
      </c>
      <c r="J9" s="8"/>
      <c r="K9" s="8" t="s">
        <v>70</v>
      </c>
      <c r="L9" s="8" t="s">
        <v>70</v>
      </c>
      <c r="M9" s="8" t="s">
        <v>70</v>
      </c>
      <c r="N9" s="8" t="s">
        <v>70</v>
      </c>
      <c r="O9" s="8" t="s">
        <v>70</v>
      </c>
      <c r="P9" s="8" t="s">
        <v>70</v>
      </c>
      <c r="Q9" s="8"/>
      <c r="R9" s="8" t="s">
        <v>70</v>
      </c>
      <c r="S9" s="8" t="s">
        <v>70</v>
      </c>
      <c r="T9" s="8" t="s">
        <v>70</v>
      </c>
      <c r="U9" s="8" t="s">
        <v>70</v>
      </c>
      <c r="V9" s="8" t="s">
        <v>70</v>
      </c>
      <c r="W9" s="8" t="s">
        <v>70</v>
      </c>
      <c r="X9" s="8"/>
      <c r="Y9" s="8" t="s">
        <v>70</v>
      </c>
      <c r="Z9" s="8" t="s">
        <v>70</v>
      </c>
      <c r="AA9" s="8" t="s">
        <v>70</v>
      </c>
      <c r="AB9" s="8" t="s">
        <v>70</v>
      </c>
      <c r="AC9" s="8" t="s">
        <v>70</v>
      </c>
      <c r="AD9" s="8" t="s">
        <v>70</v>
      </c>
      <c r="AE9" s="8"/>
      <c r="AF9" s="8" t="s">
        <v>70</v>
      </c>
      <c r="AG9" s="8" t="s">
        <v>70</v>
      </c>
      <c r="AH9" s="8" t="s">
        <v>70</v>
      </c>
      <c r="AI9" s="9"/>
      <c r="AJ9" s="8">
        <f t="shared" ref="AJ9:AJ27" si="2">SUM(AK9,AL9)</f>
        <v>27</v>
      </c>
      <c r="AK9" s="8">
        <f t="shared" ref="AK9:AL27" si="3">COUNTIF(D9:AH9,AK$6)</f>
        <v>27</v>
      </c>
      <c r="AL9" s="10">
        <f t="shared" si="3"/>
        <v>0</v>
      </c>
    </row>
    <row r="10" spans="1:38" ht="17.399999999999999" x14ac:dyDescent="0.3">
      <c r="B10" s="7">
        <v>3429</v>
      </c>
      <c r="C10" s="1" t="s">
        <v>6</v>
      </c>
      <c r="D10" s="8" t="s">
        <v>70</v>
      </c>
      <c r="E10" s="8" t="s">
        <v>70</v>
      </c>
      <c r="F10" s="8" t="s">
        <v>70</v>
      </c>
      <c r="G10" s="8" t="s">
        <v>70</v>
      </c>
      <c r="H10" s="8" t="s">
        <v>70</v>
      </c>
      <c r="I10" s="8" t="s">
        <v>70</v>
      </c>
      <c r="J10" s="8"/>
      <c r="K10" s="8" t="s">
        <v>70</v>
      </c>
      <c r="L10" s="8" t="s">
        <v>70</v>
      </c>
      <c r="M10" s="8" t="s">
        <v>70</v>
      </c>
      <c r="N10" s="8" t="s">
        <v>70</v>
      </c>
      <c r="O10" s="8" t="s">
        <v>70</v>
      </c>
      <c r="P10" s="8" t="s">
        <v>70</v>
      </c>
      <c r="Q10" s="8"/>
      <c r="R10" s="8" t="s">
        <v>70</v>
      </c>
      <c r="S10" s="8" t="s">
        <v>70</v>
      </c>
      <c r="T10" s="8" t="s">
        <v>70</v>
      </c>
      <c r="U10" s="8" t="s">
        <v>70</v>
      </c>
      <c r="V10" s="8" t="s">
        <v>70</v>
      </c>
      <c r="W10" s="8" t="s">
        <v>70</v>
      </c>
      <c r="X10" s="8"/>
      <c r="Y10" s="8" t="s">
        <v>70</v>
      </c>
      <c r="Z10" s="8" t="s">
        <v>70</v>
      </c>
      <c r="AA10" s="8" t="s">
        <v>70</v>
      </c>
      <c r="AB10" s="8" t="s">
        <v>70</v>
      </c>
      <c r="AC10" s="8" t="s">
        <v>70</v>
      </c>
      <c r="AD10" s="8" t="s">
        <v>70</v>
      </c>
      <c r="AE10" s="8"/>
      <c r="AF10" s="8" t="s">
        <v>70</v>
      </c>
      <c r="AG10" s="8" t="s">
        <v>70</v>
      </c>
      <c r="AH10" s="8" t="s">
        <v>70</v>
      </c>
      <c r="AI10" s="9"/>
      <c r="AJ10" s="8">
        <f t="shared" si="2"/>
        <v>27</v>
      </c>
      <c r="AK10" s="8">
        <f t="shared" si="3"/>
        <v>27</v>
      </c>
      <c r="AL10" s="10">
        <f t="shared" si="3"/>
        <v>0</v>
      </c>
    </row>
    <row r="11" spans="1:38" ht="17.399999999999999" x14ac:dyDescent="0.3">
      <c r="B11" s="7">
        <v>3430</v>
      </c>
      <c r="C11" s="1" t="s">
        <v>7</v>
      </c>
      <c r="D11" s="8" t="s">
        <v>70</v>
      </c>
      <c r="E11" s="8" t="s">
        <v>70</v>
      </c>
      <c r="F11" s="8" t="s">
        <v>70</v>
      </c>
      <c r="G11" s="8" t="s">
        <v>70</v>
      </c>
      <c r="H11" s="8" t="s">
        <v>70</v>
      </c>
      <c r="I11" s="8" t="s">
        <v>70</v>
      </c>
      <c r="J11" s="8"/>
      <c r="K11" s="8" t="s">
        <v>70</v>
      </c>
      <c r="L11" s="8" t="s">
        <v>70</v>
      </c>
      <c r="M11" s="8" t="s">
        <v>70</v>
      </c>
      <c r="N11" s="8" t="s">
        <v>70</v>
      </c>
      <c r="O11" s="8" t="s">
        <v>70</v>
      </c>
      <c r="P11" s="8" t="s">
        <v>70</v>
      </c>
      <c r="Q11" s="8"/>
      <c r="R11" s="8" t="s">
        <v>70</v>
      </c>
      <c r="S11" s="8" t="s">
        <v>71</v>
      </c>
      <c r="T11" s="8" t="s">
        <v>70</v>
      </c>
      <c r="U11" s="8" t="s">
        <v>70</v>
      </c>
      <c r="V11" s="8" t="s">
        <v>70</v>
      </c>
      <c r="W11" s="8" t="s">
        <v>70</v>
      </c>
      <c r="X11" s="8"/>
      <c r="Y11" s="8" t="s">
        <v>70</v>
      </c>
      <c r="Z11" s="8" t="s">
        <v>71</v>
      </c>
      <c r="AA11" s="8" t="s">
        <v>70</v>
      </c>
      <c r="AB11" s="8" t="s">
        <v>70</v>
      </c>
      <c r="AC11" s="8" t="s">
        <v>70</v>
      </c>
      <c r="AD11" s="8" t="s">
        <v>70</v>
      </c>
      <c r="AE11" s="8"/>
      <c r="AF11" s="8" t="s">
        <v>70</v>
      </c>
      <c r="AG11" s="8" t="s">
        <v>70</v>
      </c>
      <c r="AH11" s="8" t="s">
        <v>70</v>
      </c>
      <c r="AI11" s="9"/>
      <c r="AJ11" s="8">
        <f t="shared" si="2"/>
        <v>27</v>
      </c>
      <c r="AK11" s="8">
        <f t="shared" si="3"/>
        <v>25</v>
      </c>
      <c r="AL11" s="10">
        <f t="shared" si="3"/>
        <v>2</v>
      </c>
    </row>
    <row r="12" spans="1:38" ht="17.399999999999999" x14ac:dyDescent="0.3">
      <c r="B12" s="7">
        <v>3431</v>
      </c>
      <c r="C12" s="1" t="s">
        <v>8</v>
      </c>
      <c r="D12" s="8" t="s">
        <v>70</v>
      </c>
      <c r="E12" s="8" t="s">
        <v>70</v>
      </c>
      <c r="F12" s="8" t="s">
        <v>70</v>
      </c>
      <c r="G12" s="8" t="s">
        <v>70</v>
      </c>
      <c r="H12" s="8" t="s">
        <v>70</v>
      </c>
      <c r="I12" s="8" t="s">
        <v>70</v>
      </c>
      <c r="J12" s="8"/>
      <c r="K12" s="8" t="s">
        <v>70</v>
      </c>
      <c r="L12" s="8" t="s">
        <v>71</v>
      </c>
      <c r="M12" s="8" t="s">
        <v>70</v>
      </c>
      <c r="N12" s="8" t="s">
        <v>70</v>
      </c>
      <c r="O12" s="8" t="s">
        <v>70</v>
      </c>
      <c r="P12" s="8" t="s">
        <v>70</v>
      </c>
      <c r="Q12" s="8"/>
      <c r="R12" s="8" t="s">
        <v>70</v>
      </c>
      <c r="S12" s="8" t="s">
        <v>70</v>
      </c>
      <c r="T12" s="8" t="s">
        <v>70</v>
      </c>
      <c r="U12" s="8" t="s">
        <v>70</v>
      </c>
      <c r="V12" s="8" t="s">
        <v>70</v>
      </c>
      <c r="W12" s="8" t="s">
        <v>70</v>
      </c>
      <c r="X12" s="8"/>
      <c r="Y12" s="8" t="s">
        <v>70</v>
      </c>
      <c r="Z12" s="8" t="s">
        <v>70</v>
      </c>
      <c r="AA12" s="8" t="s">
        <v>70</v>
      </c>
      <c r="AB12" s="8" t="s">
        <v>70</v>
      </c>
      <c r="AC12" s="8" t="s">
        <v>70</v>
      </c>
      <c r="AD12" s="8" t="s">
        <v>70</v>
      </c>
      <c r="AE12" s="8"/>
      <c r="AF12" s="8" t="s">
        <v>70</v>
      </c>
      <c r="AG12" s="8" t="s">
        <v>70</v>
      </c>
      <c r="AH12" s="8" t="s">
        <v>70</v>
      </c>
      <c r="AI12" s="9"/>
      <c r="AJ12" s="8">
        <f t="shared" si="2"/>
        <v>27</v>
      </c>
      <c r="AK12" s="8">
        <f t="shared" si="3"/>
        <v>26</v>
      </c>
      <c r="AL12" s="10">
        <f t="shared" si="3"/>
        <v>1</v>
      </c>
    </row>
    <row r="13" spans="1:38" ht="17.399999999999999" x14ac:dyDescent="0.3">
      <c r="B13" s="7">
        <v>3432</v>
      </c>
      <c r="C13" s="1" t="s">
        <v>9</v>
      </c>
      <c r="D13" s="8" t="s">
        <v>70</v>
      </c>
      <c r="E13" s="8" t="s">
        <v>70</v>
      </c>
      <c r="F13" s="8" t="s">
        <v>70</v>
      </c>
      <c r="G13" s="8" t="s">
        <v>70</v>
      </c>
      <c r="H13" s="8" t="s">
        <v>70</v>
      </c>
      <c r="I13" s="8" t="s">
        <v>70</v>
      </c>
      <c r="J13" s="8"/>
      <c r="K13" s="8" t="s">
        <v>70</v>
      </c>
      <c r="L13" s="8" t="s">
        <v>70</v>
      </c>
      <c r="M13" s="8" t="s">
        <v>70</v>
      </c>
      <c r="N13" s="8" t="s">
        <v>70</v>
      </c>
      <c r="O13" s="8" t="s">
        <v>70</v>
      </c>
      <c r="P13" s="8" t="s">
        <v>70</v>
      </c>
      <c r="Q13" s="8"/>
      <c r="R13" s="8" t="s">
        <v>70</v>
      </c>
      <c r="S13" s="8" t="s">
        <v>70</v>
      </c>
      <c r="T13" s="8" t="s">
        <v>70</v>
      </c>
      <c r="U13" s="8" t="s">
        <v>70</v>
      </c>
      <c r="V13" s="8" t="s">
        <v>70</v>
      </c>
      <c r="W13" s="8" t="s">
        <v>70</v>
      </c>
      <c r="X13" s="8"/>
      <c r="Y13" s="8" t="s">
        <v>70</v>
      </c>
      <c r="Z13" s="8" t="s">
        <v>70</v>
      </c>
      <c r="AA13" s="8" t="s">
        <v>70</v>
      </c>
      <c r="AB13" s="8" t="s">
        <v>70</v>
      </c>
      <c r="AC13" s="8" t="s">
        <v>70</v>
      </c>
      <c r="AD13" s="8" t="s">
        <v>70</v>
      </c>
      <c r="AE13" s="8"/>
      <c r="AF13" s="8" t="s">
        <v>70</v>
      </c>
      <c r="AG13" s="8" t="s">
        <v>70</v>
      </c>
      <c r="AH13" s="8" t="s">
        <v>70</v>
      </c>
      <c r="AI13" s="9"/>
      <c r="AJ13" s="8">
        <f t="shared" si="2"/>
        <v>27</v>
      </c>
      <c r="AK13" s="8">
        <f t="shared" si="3"/>
        <v>27</v>
      </c>
      <c r="AL13" s="10">
        <f t="shared" si="3"/>
        <v>0</v>
      </c>
    </row>
    <row r="14" spans="1:38" ht="17.399999999999999" x14ac:dyDescent="0.3">
      <c r="B14" s="7">
        <v>3433</v>
      </c>
      <c r="C14" s="1" t="s">
        <v>10</v>
      </c>
      <c r="D14" s="8" t="s">
        <v>70</v>
      </c>
      <c r="E14" s="8" t="s">
        <v>70</v>
      </c>
      <c r="F14" s="8" t="s">
        <v>70</v>
      </c>
      <c r="G14" s="8" t="s">
        <v>70</v>
      </c>
      <c r="H14" s="8" t="s">
        <v>70</v>
      </c>
      <c r="I14" s="8" t="s">
        <v>70</v>
      </c>
      <c r="J14" s="8"/>
      <c r="K14" s="8" t="s">
        <v>70</v>
      </c>
      <c r="L14" s="8" t="s">
        <v>70</v>
      </c>
      <c r="M14" s="8" t="s">
        <v>70</v>
      </c>
      <c r="N14" s="8" t="s">
        <v>70</v>
      </c>
      <c r="O14" s="8" t="s">
        <v>70</v>
      </c>
      <c r="P14" s="8" t="s">
        <v>70</v>
      </c>
      <c r="Q14" s="8"/>
      <c r="R14" s="8" t="s">
        <v>70</v>
      </c>
      <c r="S14" s="8" t="s">
        <v>70</v>
      </c>
      <c r="T14" s="8" t="s">
        <v>70</v>
      </c>
      <c r="U14" s="8" t="s">
        <v>70</v>
      </c>
      <c r="V14" s="8" t="s">
        <v>70</v>
      </c>
      <c r="W14" s="8" t="s">
        <v>70</v>
      </c>
      <c r="X14" s="8"/>
      <c r="Y14" s="8" t="s">
        <v>70</v>
      </c>
      <c r="Z14" s="8" t="s">
        <v>70</v>
      </c>
      <c r="AA14" s="8" t="s">
        <v>70</v>
      </c>
      <c r="AB14" s="8" t="s">
        <v>70</v>
      </c>
      <c r="AC14" s="8" t="s">
        <v>70</v>
      </c>
      <c r="AD14" s="8" t="s">
        <v>70</v>
      </c>
      <c r="AE14" s="8"/>
      <c r="AF14" s="8" t="s">
        <v>70</v>
      </c>
      <c r="AG14" s="8" t="s">
        <v>70</v>
      </c>
      <c r="AH14" s="8" t="s">
        <v>70</v>
      </c>
      <c r="AI14" s="9"/>
      <c r="AJ14" s="8">
        <f t="shared" si="2"/>
        <v>27</v>
      </c>
      <c r="AK14" s="8">
        <f t="shared" si="3"/>
        <v>27</v>
      </c>
      <c r="AL14" s="10">
        <f t="shared" si="3"/>
        <v>0</v>
      </c>
    </row>
    <row r="15" spans="1:38" ht="17.399999999999999" x14ac:dyDescent="0.3">
      <c r="B15" s="7">
        <v>3434</v>
      </c>
      <c r="C15" s="1" t="s">
        <v>11</v>
      </c>
      <c r="D15" s="8" t="s">
        <v>70</v>
      </c>
      <c r="E15" s="8" t="s">
        <v>70</v>
      </c>
      <c r="F15" s="8" t="s">
        <v>70</v>
      </c>
      <c r="G15" s="8" t="s">
        <v>70</v>
      </c>
      <c r="H15" s="8" t="s">
        <v>70</v>
      </c>
      <c r="I15" s="8" t="s">
        <v>70</v>
      </c>
      <c r="J15" s="8"/>
      <c r="K15" s="8" t="s">
        <v>70</v>
      </c>
      <c r="L15" s="8" t="s">
        <v>70</v>
      </c>
      <c r="M15" s="8" t="s">
        <v>70</v>
      </c>
      <c r="N15" s="8" t="s">
        <v>70</v>
      </c>
      <c r="O15" s="8" t="s">
        <v>70</v>
      </c>
      <c r="P15" s="8" t="s">
        <v>70</v>
      </c>
      <c r="Q15" s="8"/>
      <c r="R15" s="8" t="s">
        <v>70</v>
      </c>
      <c r="S15" s="8" t="s">
        <v>70</v>
      </c>
      <c r="T15" s="8" t="s">
        <v>70</v>
      </c>
      <c r="U15" s="8" t="s">
        <v>70</v>
      </c>
      <c r="V15" s="8" t="s">
        <v>70</v>
      </c>
      <c r="W15" s="8" t="s">
        <v>70</v>
      </c>
      <c r="X15" s="8"/>
      <c r="Y15" s="8" t="s">
        <v>70</v>
      </c>
      <c r="Z15" s="8" t="s">
        <v>70</v>
      </c>
      <c r="AA15" s="8" t="s">
        <v>70</v>
      </c>
      <c r="AB15" s="8" t="s">
        <v>70</v>
      </c>
      <c r="AC15" s="8" t="s">
        <v>70</v>
      </c>
      <c r="AD15" s="8" t="s">
        <v>70</v>
      </c>
      <c r="AE15" s="8"/>
      <c r="AF15" s="8" t="s">
        <v>70</v>
      </c>
      <c r="AG15" s="8" t="s">
        <v>70</v>
      </c>
      <c r="AH15" s="8" t="s">
        <v>70</v>
      </c>
      <c r="AI15" s="9"/>
      <c r="AJ15" s="8">
        <f t="shared" si="2"/>
        <v>27</v>
      </c>
      <c r="AK15" s="8">
        <f t="shared" si="3"/>
        <v>27</v>
      </c>
      <c r="AL15" s="10">
        <f t="shared" si="3"/>
        <v>0</v>
      </c>
    </row>
    <row r="16" spans="1:38" ht="17.399999999999999" x14ac:dyDescent="0.3">
      <c r="B16" s="7">
        <v>3435</v>
      </c>
      <c r="C16" s="1" t="s">
        <v>12</v>
      </c>
      <c r="D16" s="8" t="s">
        <v>70</v>
      </c>
      <c r="E16" s="8" t="s">
        <v>70</v>
      </c>
      <c r="F16" s="8" t="s">
        <v>70</v>
      </c>
      <c r="G16" s="8" t="s">
        <v>70</v>
      </c>
      <c r="H16" s="8" t="s">
        <v>70</v>
      </c>
      <c r="I16" s="8" t="s">
        <v>70</v>
      </c>
      <c r="J16" s="8"/>
      <c r="K16" s="8" t="s">
        <v>70</v>
      </c>
      <c r="L16" s="8" t="s">
        <v>70</v>
      </c>
      <c r="M16" s="8" t="s">
        <v>70</v>
      </c>
      <c r="N16" s="8" t="s">
        <v>70</v>
      </c>
      <c r="O16" s="8" t="s">
        <v>70</v>
      </c>
      <c r="P16" s="8" t="s">
        <v>70</v>
      </c>
      <c r="Q16" s="8"/>
      <c r="R16" s="8" t="s">
        <v>70</v>
      </c>
      <c r="S16" s="8" t="s">
        <v>70</v>
      </c>
      <c r="T16" s="8" t="s">
        <v>70</v>
      </c>
      <c r="U16" s="8" t="s">
        <v>71</v>
      </c>
      <c r="V16" s="8" t="s">
        <v>70</v>
      </c>
      <c r="W16" s="8" t="s">
        <v>70</v>
      </c>
      <c r="X16" s="8"/>
      <c r="Y16" s="8" t="s">
        <v>70</v>
      </c>
      <c r="Z16" s="8" t="s">
        <v>70</v>
      </c>
      <c r="AA16" s="8" t="s">
        <v>70</v>
      </c>
      <c r="AB16" s="8" t="s">
        <v>70</v>
      </c>
      <c r="AC16" s="8" t="s">
        <v>70</v>
      </c>
      <c r="AD16" s="8" t="s">
        <v>70</v>
      </c>
      <c r="AE16" s="8"/>
      <c r="AF16" s="8" t="s">
        <v>70</v>
      </c>
      <c r="AG16" s="8" t="s">
        <v>70</v>
      </c>
      <c r="AH16" s="8" t="s">
        <v>70</v>
      </c>
      <c r="AI16" s="9"/>
      <c r="AJ16" s="8">
        <f t="shared" si="2"/>
        <v>27</v>
      </c>
      <c r="AK16" s="8">
        <f t="shared" si="3"/>
        <v>26</v>
      </c>
      <c r="AL16" s="10">
        <f t="shared" si="3"/>
        <v>1</v>
      </c>
    </row>
    <row r="17" spans="2:38" ht="17.399999999999999" x14ac:dyDescent="0.3">
      <c r="B17" s="7">
        <v>3436</v>
      </c>
      <c r="C17" s="1" t="s">
        <v>13</v>
      </c>
      <c r="D17" s="8" t="s">
        <v>70</v>
      </c>
      <c r="E17" s="8" t="s">
        <v>70</v>
      </c>
      <c r="F17" s="8" t="s">
        <v>70</v>
      </c>
      <c r="G17" s="8" t="s">
        <v>70</v>
      </c>
      <c r="H17" s="8" t="s">
        <v>70</v>
      </c>
      <c r="I17" s="8" t="s">
        <v>70</v>
      </c>
      <c r="J17" s="8"/>
      <c r="K17" s="8" t="s">
        <v>70</v>
      </c>
      <c r="L17" s="8" t="s">
        <v>70</v>
      </c>
      <c r="M17" s="8" t="s">
        <v>70</v>
      </c>
      <c r="N17" s="8" t="s">
        <v>70</v>
      </c>
      <c r="O17" s="8" t="s">
        <v>70</v>
      </c>
      <c r="P17" s="8" t="s">
        <v>70</v>
      </c>
      <c r="Q17" s="8"/>
      <c r="R17" s="8" t="s">
        <v>70</v>
      </c>
      <c r="S17" s="8" t="s">
        <v>70</v>
      </c>
      <c r="T17" s="8" t="s">
        <v>70</v>
      </c>
      <c r="U17" s="8" t="s">
        <v>70</v>
      </c>
      <c r="V17" s="8" t="s">
        <v>70</v>
      </c>
      <c r="W17" s="8" t="s">
        <v>70</v>
      </c>
      <c r="X17" s="8"/>
      <c r="Y17" s="8" t="s">
        <v>70</v>
      </c>
      <c r="Z17" s="8" t="s">
        <v>70</v>
      </c>
      <c r="AA17" s="8" t="s">
        <v>70</v>
      </c>
      <c r="AB17" s="8" t="s">
        <v>70</v>
      </c>
      <c r="AC17" s="8" t="s">
        <v>70</v>
      </c>
      <c r="AD17" s="8" t="s">
        <v>70</v>
      </c>
      <c r="AE17" s="8"/>
      <c r="AF17" s="8" t="s">
        <v>70</v>
      </c>
      <c r="AG17" s="8" t="s">
        <v>70</v>
      </c>
      <c r="AH17" s="8" t="s">
        <v>70</v>
      </c>
      <c r="AI17" s="9"/>
      <c r="AJ17" s="8">
        <f t="shared" si="2"/>
        <v>27</v>
      </c>
      <c r="AK17" s="8">
        <f t="shared" si="3"/>
        <v>27</v>
      </c>
      <c r="AL17" s="10">
        <f t="shared" si="3"/>
        <v>0</v>
      </c>
    </row>
    <row r="18" spans="2:38" ht="17.399999999999999" x14ac:dyDescent="0.3">
      <c r="B18" s="7">
        <v>3437</v>
      </c>
      <c r="C18" s="1" t="s">
        <v>14</v>
      </c>
      <c r="D18" s="8" t="s">
        <v>70</v>
      </c>
      <c r="E18" s="8" t="s">
        <v>70</v>
      </c>
      <c r="F18" s="8" t="s">
        <v>70</v>
      </c>
      <c r="G18" s="8" t="s">
        <v>70</v>
      </c>
      <c r="H18" s="8" t="s">
        <v>70</v>
      </c>
      <c r="I18" s="8" t="s">
        <v>70</v>
      </c>
      <c r="J18" s="8"/>
      <c r="K18" s="8" t="s">
        <v>70</v>
      </c>
      <c r="L18" s="8" t="s">
        <v>70</v>
      </c>
      <c r="M18" s="8" t="s">
        <v>70</v>
      </c>
      <c r="N18" s="8" t="s">
        <v>70</v>
      </c>
      <c r="O18" s="8" t="s">
        <v>70</v>
      </c>
      <c r="P18" s="8" t="s">
        <v>70</v>
      </c>
      <c r="Q18" s="8"/>
      <c r="R18" s="8" t="s">
        <v>70</v>
      </c>
      <c r="S18" s="8" t="s">
        <v>70</v>
      </c>
      <c r="T18" s="8" t="s">
        <v>70</v>
      </c>
      <c r="U18" s="8" t="s">
        <v>70</v>
      </c>
      <c r="V18" s="8" t="s">
        <v>70</v>
      </c>
      <c r="W18" s="8" t="s">
        <v>70</v>
      </c>
      <c r="X18" s="8"/>
      <c r="Y18" s="8" t="s">
        <v>70</v>
      </c>
      <c r="Z18" s="8" t="s">
        <v>70</v>
      </c>
      <c r="AA18" s="8" t="s">
        <v>70</v>
      </c>
      <c r="AB18" s="8" t="s">
        <v>70</v>
      </c>
      <c r="AC18" s="8" t="s">
        <v>70</v>
      </c>
      <c r="AD18" s="8" t="s">
        <v>70</v>
      </c>
      <c r="AE18" s="8"/>
      <c r="AF18" s="8" t="s">
        <v>70</v>
      </c>
      <c r="AG18" s="8" t="s">
        <v>71</v>
      </c>
      <c r="AH18" s="8" t="s">
        <v>70</v>
      </c>
      <c r="AI18" s="9"/>
      <c r="AJ18" s="8">
        <f t="shared" si="2"/>
        <v>27</v>
      </c>
      <c r="AK18" s="8">
        <f t="shared" si="3"/>
        <v>26</v>
      </c>
      <c r="AL18" s="10">
        <f t="shared" si="3"/>
        <v>1</v>
      </c>
    </row>
    <row r="19" spans="2:38" ht="17.399999999999999" x14ac:dyDescent="0.3">
      <c r="B19" s="7">
        <v>3438</v>
      </c>
      <c r="C19" s="1" t="s">
        <v>15</v>
      </c>
      <c r="D19" s="8" t="s">
        <v>70</v>
      </c>
      <c r="E19" s="8" t="s">
        <v>70</v>
      </c>
      <c r="F19" s="8" t="s">
        <v>70</v>
      </c>
      <c r="G19" s="8" t="s">
        <v>70</v>
      </c>
      <c r="H19" s="8" t="s">
        <v>70</v>
      </c>
      <c r="I19" s="8" t="s">
        <v>70</v>
      </c>
      <c r="J19" s="8"/>
      <c r="K19" s="8" t="s">
        <v>70</v>
      </c>
      <c r="L19" s="8" t="s">
        <v>70</v>
      </c>
      <c r="M19" s="8" t="s">
        <v>70</v>
      </c>
      <c r="N19" s="8" t="s">
        <v>70</v>
      </c>
      <c r="O19" s="8" t="s">
        <v>70</v>
      </c>
      <c r="P19" s="8" t="s">
        <v>70</v>
      </c>
      <c r="Q19" s="8"/>
      <c r="R19" s="8" t="s">
        <v>70</v>
      </c>
      <c r="S19" s="8" t="s">
        <v>70</v>
      </c>
      <c r="T19" s="8" t="s">
        <v>70</v>
      </c>
      <c r="U19" s="8" t="s">
        <v>70</v>
      </c>
      <c r="V19" s="8" t="s">
        <v>70</v>
      </c>
      <c r="W19" s="8" t="s">
        <v>70</v>
      </c>
      <c r="X19" s="8"/>
      <c r="Y19" s="8" t="s">
        <v>70</v>
      </c>
      <c r="Z19" s="8" t="s">
        <v>70</v>
      </c>
      <c r="AA19" s="8" t="s">
        <v>71</v>
      </c>
      <c r="AB19" s="8" t="s">
        <v>70</v>
      </c>
      <c r="AC19" s="8" t="s">
        <v>70</v>
      </c>
      <c r="AD19" s="8" t="s">
        <v>70</v>
      </c>
      <c r="AE19" s="8"/>
      <c r="AF19" s="8" t="s">
        <v>70</v>
      </c>
      <c r="AG19" s="8" t="s">
        <v>70</v>
      </c>
      <c r="AH19" s="8" t="s">
        <v>70</v>
      </c>
      <c r="AI19" s="9"/>
      <c r="AJ19" s="8">
        <f t="shared" si="2"/>
        <v>27</v>
      </c>
      <c r="AK19" s="8">
        <f t="shared" si="3"/>
        <v>26</v>
      </c>
      <c r="AL19" s="10">
        <f t="shared" si="3"/>
        <v>1</v>
      </c>
    </row>
    <row r="20" spans="2:38" ht="17.399999999999999" x14ac:dyDescent="0.3">
      <c r="B20" s="7">
        <v>3439</v>
      </c>
      <c r="C20" s="1" t="s">
        <v>16</v>
      </c>
      <c r="D20" s="8" t="s">
        <v>70</v>
      </c>
      <c r="E20" s="8" t="s">
        <v>70</v>
      </c>
      <c r="F20" s="8" t="s">
        <v>70</v>
      </c>
      <c r="G20" s="8" t="s">
        <v>70</v>
      </c>
      <c r="H20" s="8" t="s">
        <v>70</v>
      </c>
      <c r="I20" s="8" t="s">
        <v>70</v>
      </c>
      <c r="J20" s="8"/>
      <c r="K20" s="8" t="s">
        <v>70</v>
      </c>
      <c r="L20" s="8" t="s">
        <v>70</v>
      </c>
      <c r="M20" s="8" t="s">
        <v>70</v>
      </c>
      <c r="N20" s="8" t="s">
        <v>71</v>
      </c>
      <c r="O20" s="8" t="s">
        <v>70</v>
      </c>
      <c r="P20" s="8" t="s">
        <v>70</v>
      </c>
      <c r="Q20" s="8"/>
      <c r="R20" s="8" t="s">
        <v>70</v>
      </c>
      <c r="S20" s="8" t="s">
        <v>70</v>
      </c>
      <c r="T20" s="8" t="s">
        <v>70</v>
      </c>
      <c r="U20" s="8" t="s">
        <v>70</v>
      </c>
      <c r="V20" s="8" t="s">
        <v>70</v>
      </c>
      <c r="W20" s="8" t="s">
        <v>70</v>
      </c>
      <c r="X20" s="8"/>
      <c r="Y20" s="8" t="s">
        <v>70</v>
      </c>
      <c r="Z20" s="8" t="s">
        <v>70</v>
      </c>
      <c r="AA20" s="8" t="s">
        <v>70</v>
      </c>
      <c r="AB20" s="8" t="s">
        <v>70</v>
      </c>
      <c r="AC20" s="8" t="s">
        <v>70</v>
      </c>
      <c r="AD20" s="8" t="s">
        <v>70</v>
      </c>
      <c r="AE20" s="8"/>
      <c r="AF20" s="8" t="s">
        <v>70</v>
      </c>
      <c r="AG20" s="8" t="s">
        <v>70</v>
      </c>
      <c r="AH20" s="8" t="s">
        <v>70</v>
      </c>
      <c r="AI20" s="9"/>
      <c r="AJ20" s="8">
        <f t="shared" si="2"/>
        <v>27</v>
      </c>
      <c r="AK20" s="8">
        <f t="shared" si="3"/>
        <v>26</v>
      </c>
      <c r="AL20" s="10">
        <f t="shared" si="3"/>
        <v>1</v>
      </c>
    </row>
    <row r="21" spans="2:38" ht="17.399999999999999" x14ac:dyDescent="0.3">
      <c r="B21" s="7">
        <v>3440</v>
      </c>
      <c r="C21" s="1" t="s">
        <v>17</v>
      </c>
      <c r="D21" s="8" t="s">
        <v>70</v>
      </c>
      <c r="E21" s="8" t="s">
        <v>70</v>
      </c>
      <c r="F21" s="8" t="s">
        <v>70</v>
      </c>
      <c r="G21" s="8" t="s">
        <v>70</v>
      </c>
      <c r="H21" s="8" t="s">
        <v>70</v>
      </c>
      <c r="I21" s="8" t="s">
        <v>70</v>
      </c>
      <c r="J21" s="8"/>
      <c r="K21" s="8" t="s">
        <v>70</v>
      </c>
      <c r="L21" s="8" t="s">
        <v>70</v>
      </c>
      <c r="M21" s="8" t="s">
        <v>70</v>
      </c>
      <c r="N21" s="8" t="s">
        <v>70</v>
      </c>
      <c r="O21" s="8" t="s">
        <v>70</v>
      </c>
      <c r="P21" s="8" t="s">
        <v>70</v>
      </c>
      <c r="Q21" s="8"/>
      <c r="R21" s="8" t="s">
        <v>70</v>
      </c>
      <c r="S21" s="8" t="s">
        <v>70</v>
      </c>
      <c r="T21" s="8" t="s">
        <v>70</v>
      </c>
      <c r="U21" s="8" t="s">
        <v>70</v>
      </c>
      <c r="V21" s="8" t="s">
        <v>70</v>
      </c>
      <c r="W21" s="8" t="s">
        <v>70</v>
      </c>
      <c r="X21" s="8"/>
      <c r="Y21" s="8" t="s">
        <v>70</v>
      </c>
      <c r="Z21" s="8" t="s">
        <v>70</v>
      </c>
      <c r="AA21" s="8" t="s">
        <v>70</v>
      </c>
      <c r="AB21" s="8" t="s">
        <v>70</v>
      </c>
      <c r="AC21" s="8" t="s">
        <v>70</v>
      </c>
      <c r="AD21" s="8" t="s">
        <v>70</v>
      </c>
      <c r="AE21" s="8"/>
      <c r="AF21" s="8" t="s">
        <v>70</v>
      </c>
      <c r="AG21" s="8" t="s">
        <v>70</v>
      </c>
      <c r="AH21" s="8" t="s">
        <v>70</v>
      </c>
      <c r="AI21" s="9"/>
      <c r="AJ21" s="8">
        <f t="shared" si="2"/>
        <v>27</v>
      </c>
      <c r="AK21" s="8">
        <f t="shared" si="3"/>
        <v>27</v>
      </c>
      <c r="AL21" s="10">
        <f t="shared" si="3"/>
        <v>0</v>
      </c>
    </row>
    <row r="22" spans="2:38" ht="17.399999999999999" x14ac:dyDescent="0.3">
      <c r="B22" s="7">
        <v>3441</v>
      </c>
      <c r="C22" s="1" t="s">
        <v>18</v>
      </c>
      <c r="D22" s="8" t="s">
        <v>70</v>
      </c>
      <c r="E22" s="8" t="s">
        <v>70</v>
      </c>
      <c r="F22" s="8" t="s">
        <v>70</v>
      </c>
      <c r="G22" s="8" t="s">
        <v>70</v>
      </c>
      <c r="H22" s="8" t="s">
        <v>70</v>
      </c>
      <c r="I22" s="8" t="s">
        <v>70</v>
      </c>
      <c r="J22" s="8"/>
      <c r="K22" s="8" t="s">
        <v>70</v>
      </c>
      <c r="L22" s="8" t="s">
        <v>70</v>
      </c>
      <c r="M22" s="8" t="s">
        <v>70</v>
      </c>
      <c r="N22" s="8" t="s">
        <v>70</v>
      </c>
      <c r="O22" s="8" t="s">
        <v>70</v>
      </c>
      <c r="P22" s="8" t="s">
        <v>70</v>
      </c>
      <c r="Q22" s="8"/>
      <c r="R22" s="8" t="s">
        <v>70</v>
      </c>
      <c r="S22" s="8" t="s">
        <v>70</v>
      </c>
      <c r="T22" s="8" t="s">
        <v>70</v>
      </c>
      <c r="U22" s="8" t="s">
        <v>70</v>
      </c>
      <c r="V22" s="8" t="s">
        <v>70</v>
      </c>
      <c r="W22" s="8" t="s">
        <v>70</v>
      </c>
      <c r="X22" s="8"/>
      <c r="Y22" s="8" t="s">
        <v>70</v>
      </c>
      <c r="Z22" s="8" t="s">
        <v>70</v>
      </c>
      <c r="AA22" s="8" t="s">
        <v>70</v>
      </c>
      <c r="AB22" s="8" t="s">
        <v>70</v>
      </c>
      <c r="AC22" s="8" t="s">
        <v>70</v>
      </c>
      <c r="AD22" s="8" t="s">
        <v>70</v>
      </c>
      <c r="AE22" s="8"/>
      <c r="AF22" s="8" t="s">
        <v>70</v>
      </c>
      <c r="AG22" s="8" t="s">
        <v>70</v>
      </c>
      <c r="AH22" s="8" t="s">
        <v>70</v>
      </c>
      <c r="AI22" s="9"/>
      <c r="AJ22" s="8">
        <f t="shared" si="2"/>
        <v>27</v>
      </c>
      <c r="AK22" s="8">
        <f t="shared" si="3"/>
        <v>27</v>
      </c>
      <c r="AL22" s="10">
        <f t="shared" si="3"/>
        <v>0</v>
      </c>
    </row>
    <row r="23" spans="2:38" ht="17.399999999999999" x14ac:dyDescent="0.3">
      <c r="B23" s="7">
        <v>3442</v>
      </c>
      <c r="C23" s="1" t="s">
        <v>19</v>
      </c>
      <c r="D23" s="8" t="s">
        <v>70</v>
      </c>
      <c r="E23" s="8" t="s">
        <v>70</v>
      </c>
      <c r="F23" s="8" t="s">
        <v>70</v>
      </c>
      <c r="G23" s="8" t="s">
        <v>70</v>
      </c>
      <c r="H23" s="8" t="s">
        <v>70</v>
      </c>
      <c r="I23" s="8" t="s">
        <v>70</v>
      </c>
      <c r="J23" s="8"/>
      <c r="K23" s="8" t="s">
        <v>70</v>
      </c>
      <c r="L23" s="8" t="s">
        <v>70</v>
      </c>
      <c r="M23" s="8" t="s">
        <v>70</v>
      </c>
      <c r="N23" s="8" t="s">
        <v>70</v>
      </c>
      <c r="O23" s="8" t="s">
        <v>70</v>
      </c>
      <c r="P23" s="8" t="s">
        <v>70</v>
      </c>
      <c r="Q23" s="8"/>
      <c r="R23" s="8" t="s">
        <v>70</v>
      </c>
      <c r="S23" s="8" t="s">
        <v>70</v>
      </c>
      <c r="T23" s="8" t="s">
        <v>70</v>
      </c>
      <c r="U23" s="8" t="s">
        <v>70</v>
      </c>
      <c r="V23" s="8" t="s">
        <v>70</v>
      </c>
      <c r="W23" s="8" t="s">
        <v>70</v>
      </c>
      <c r="X23" s="8"/>
      <c r="Y23" s="8" t="s">
        <v>70</v>
      </c>
      <c r="Z23" s="8" t="s">
        <v>70</v>
      </c>
      <c r="AA23" s="8" t="s">
        <v>70</v>
      </c>
      <c r="AB23" s="8" t="s">
        <v>70</v>
      </c>
      <c r="AC23" s="8" t="s">
        <v>70</v>
      </c>
      <c r="AD23" s="8" t="s">
        <v>70</v>
      </c>
      <c r="AE23" s="8"/>
      <c r="AF23" s="8" t="s">
        <v>70</v>
      </c>
      <c r="AG23" s="8" t="s">
        <v>70</v>
      </c>
      <c r="AH23" s="8" t="s">
        <v>70</v>
      </c>
      <c r="AI23" s="9"/>
      <c r="AJ23" s="8">
        <f t="shared" si="2"/>
        <v>27</v>
      </c>
      <c r="AK23" s="8">
        <f t="shared" si="3"/>
        <v>27</v>
      </c>
      <c r="AL23" s="10">
        <f t="shared" si="3"/>
        <v>0</v>
      </c>
    </row>
    <row r="24" spans="2:38" ht="17.399999999999999" x14ac:dyDescent="0.3">
      <c r="B24" s="7">
        <v>3443</v>
      </c>
      <c r="C24" s="1" t="s">
        <v>20</v>
      </c>
      <c r="D24" s="8" t="s">
        <v>70</v>
      </c>
      <c r="E24" s="8" t="s">
        <v>70</v>
      </c>
      <c r="F24" s="8" t="s">
        <v>70</v>
      </c>
      <c r="G24" s="8" t="s">
        <v>70</v>
      </c>
      <c r="H24" s="8" t="s">
        <v>70</v>
      </c>
      <c r="I24" s="8" t="s">
        <v>70</v>
      </c>
      <c r="J24" s="8"/>
      <c r="K24" s="8" t="s">
        <v>70</v>
      </c>
      <c r="L24" s="8" t="s">
        <v>70</v>
      </c>
      <c r="M24" s="8" t="s">
        <v>70</v>
      </c>
      <c r="N24" s="8" t="s">
        <v>70</v>
      </c>
      <c r="O24" s="8" t="s">
        <v>70</v>
      </c>
      <c r="P24" s="8" t="s">
        <v>70</v>
      </c>
      <c r="Q24" s="8"/>
      <c r="R24" s="8" t="s">
        <v>70</v>
      </c>
      <c r="S24" s="8" t="s">
        <v>70</v>
      </c>
      <c r="T24" s="8" t="s">
        <v>70</v>
      </c>
      <c r="U24" s="8" t="s">
        <v>70</v>
      </c>
      <c r="V24" s="8" t="s">
        <v>70</v>
      </c>
      <c r="W24" s="8" t="s">
        <v>70</v>
      </c>
      <c r="X24" s="8"/>
      <c r="Y24" s="8" t="s">
        <v>70</v>
      </c>
      <c r="Z24" s="8" t="s">
        <v>70</v>
      </c>
      <c r="AA24" s="8" t="s">
        <v>70</v>
      </c>
      <c r="AB24" s="8" t="s">
        <v>70</v>
      </c>
      <c r="AC24" s="8" t="s">
        <v>70</v>
      </c>
      <c r="AD24" s="8" t="s">
        <v>70</v>
      </c>
      <c r="AE24" s="8"/>
      <c r="AF24" s="8" t="s">
        <v>70</v>
      </c>
      <c r="AG24" s="8" t="s">
        <v>70</v>
      </c>
      <c r="AH24" s="8" t="s">
        <v>70</v>
      </c>
      <c r="AI24" s="9"/>
      <c r="AJ24" s="8">
        <f t="shared" si="2"/>
        <v>27</v>
      </c>
      <c r="AK24" s="8">
        <f t="shared" si="3"/>
        <v>27</v>
      </c>
      <c r="AL24" s="10">
        <f t="shared" si="3"/>
        <v>0</v>
      </c>
    </row>
    <row r="25" spans="2:38" ht="17.399999999999999" x14ac:dyDescent="0.3">
      <c r="B25" s="7">
        <v>3444</v>
      </c>
      <c r="C25" s="1" t="s">
        <v>21</v>
      </c>
      <c r="D25" s="8" t="s">
        <v>70</v>
      </c>
      <c r="E25" s="8" t="s">
        <v>70</v>
      </c>
      <c r="F25" s="8" t="s">
        <v>70</v>
      </c>
      <c r="G25" s="8" t="s">
        <v>70</v>
      </c>
      <c r="H25" s="8" t="s">
        <v>70</v>
      </c>
      <c r="I25" s="8" t="s">
        <v>70</v>
      </c>
      <c r="J25" s="8"/>
      <c r="K25" s="8" t="s">
        <v>70</v>
      </c>
      <c r="L25" s="8" t="s">
        <v>70</v>
      </c>
      <c r="M25" s="8" t="s">
        <v>70</v>
      </c>
      <c r="N25" s="8" t="s">
        <v>70</v>
      </c>
      <c r="O25" s="8" t="s">
        <v>70</v>
      </c>
      <c r="P25" s="8" t="s">
        <v>70</v>
      </c>
      <c r="Q25" s="8"/>
      <c r="R25" s="8" t="s">
        <v>70</v>
      </c>
      <c r="S25" s="8" t="s">
        <v>70</v>
      </c>
      <c r="T25" s="8" t="s">
        <v>70</v>
      </c>
      <c r="U25" s="8" t="s">
        <v>70</v>
      </c>
      <c r="V25" s="8" t="s">
        <v>70</v>
      </c>
      <c r="W25" s="8" t="s">
        <v>70</v>
      </c>
      <c r="X25" s="8"/>
      <c r="Y25" s="8" t="s">
        <v>70</v>
      </c>
      <c r="Z25" s="8" t="s">
        <v>70</v>
      </c>
      <c r="AA25" s="8" t="s">
        <v>70</v>
      </c>
      <c r="AB25" s="8" t="s">
        <v>70</v>
      </c>
      <c r="AC25" s="8" t="s">
        <v>70</v>
      </c>
      <c r="AD25" s="8" t="s">
        <v>70</v>
      </c>
      <c r="AE25" s="8"/>
      <c r="AF25" s="8" t="s">
        <v>70</v>
      </c>
      <c r="AG25" s="8" t="s">
        <v>70</v>
      </c>
      <c r="AH25" s="8" t="s">
        <v>70</v>
      </c>
      <c r="AI25" s="9"/>
      <c r="AJ25" s="8">
        <f t="shared" si="2"/>
        <v>27</v>
      </c>
      <c r="AK25" s="8">
        <f t="shared" si="3"/>
        <v>27</v>
      </c>
      <c r="AL25" s="10">
        <f t="shared" si="3"/>
        <v>0</v>
      </c>
    </row>
    <row r="26" spans="2:38" ht="17.399999999999999" x14ac:dyDescent="0.3">
      <c r="B26" s="7">
        <v>3445</v>
      </c>
      <c r="C26" s="1" t="s">
        <v>22</v>
      </c>
      <c r="D26" s="8" t="s">
        <v>70</v>
      </c>
      <c r="E26" s="8" t="s">
        <v>70</v>
      </c>
      <c r="F26" s="8" t="s">
        <v>70</v>
      </c>
      <c r="G26" s="8" t="s">
        <v>70</v>
      </c>
      <c r="H26" s="8" t="s">
        <v>70</v>
      </c>
      <c r="I26" s="8" t="s">
        <v>70</v>
      </c>
      <c r="J26" s="8"/>
      <c r="K26" s="8" t="s">
        <v>70</v>
      </c>
      <c r="L26" s="8" t="s">
        <v>70</v>
      </c>
      <c r="M26" s="8" t="s">
        <v>70</v>
      </c>
      <c r="N26" s="8" t="s">
        <v>70</v>
      </c>
      <c r="O26" s="8" t="s">
        <v>70</v>
      </c>
      <c r="P26" s="8" t="s">
        <v>70</v>
      </c>
      <c r="Q26" s="8"/>
      <c r="R26" s="8" t="s">
        <v>70</v>
      </c>
      <c r="S26" s="8" t="s">
        <v>70</v>
      </c>
      <c r="T26" s="8" t="s">
        <v>70</v>
      </c>
      <c r="U26" s="8" t="s">
        <v>70</v>
      </c>
      <c r="V26" s="8" t="s">
        <v>70</v>
      </c>
      <c r="W26" s="8" t="s">
        <v>70</v>
      </c>
      <c r="X26" s="8"/>
      <c r="Y26" s="8" t="s">
        <v>70</v>
      </c>
      <c r="Z26" s="8" t="s">
        <v>70</v>
      </c>
      <c r="AA26" s="8" t="s">
        <v>70</v>
      </c>
      <c r="AB26" s="8" t="s">
        <v>70</v>
      </c>
      <c r="AC26" s="8" t="s">
        <v>70</v>
      </c>
      <c r="AD26" s="8" t="s">
        <v>70</v>
      </c>
      <c r="AE26" s="8"/>
      <c r="AF26" s="8" t="s">
        <v>70</v>
      </c>
      <c r="AG26" s="8" t="s">
        <v>70</v>
      </c>
      <c r="AH26" s="8" t="s">
        <v>70</v>
      </c>
      <c r="AI26" s="9"/>
      <c r="AJ26" s="8">
        <f t="shared" si="2"/>
        <v>27</v>
      </c>
      <c r="AK26" s="8">
        <f t="shared" si="3"/>
        <v>27</v>
      </c>
      <c r="AL26" s="10">
        <f t="shared" si="3"/>
        <v>0</v>
      </c>
    </row>
    <row r="27" spans="2:38" ht="17.399999999999999" x14ac:dyDescent="0.3">
      <c r="B27" s="7">
        <v>3446</v>
      </c>
      <c r="C27" s="1" t="s">
        <v>23</v>
      </c>
      <c r="D27" s="8" t="s">
        <v>70</v>
      </c>
      <c r="E27" s="8" t="s">
        <v>70</v>
      </c>
      <c r="F27" s="8" t="s">
        <v>70</v>
      </c>
      <c r="G27" s="8" t="s">
        <v>70</v>
      </c>
      <c r="H27" s="8" t="s">
        <v>70</v>
      </c>
      <c r="I27" s="8" t="s">
        <v>70</v>
      </c>
      <c r="J27" s="8"/>
      <c r="K27" s="8" t="s">
        <v>70</v>
      </c>
      <c r="L27" s="8" t="s">
        <v>70</v>
      </c>
      <c r="M27" s="8" t="s">
        <v>70</v>
      </c>
      <c r="N27" s="8" t="s">
        <v>70</v>
      </c>
      <c r="O27" s="8" t="s">
        <v>70</v>
      </c>
      <c r="P27" s="8" t="s">
        <v>70</v>
      </c>
      <c r="Q27" s="8"/>
      <c r="R27" s="8" t="s">
        <v>70</v>
      </c>
      <c r="S27" s="8" t="s">
        <v>70</v>
      </c>
      <c r="T27" s="8" t="s">
        <v>70</v>
      </c>
      <c r="U27" s="8" t="s">
        <v>70</v>
      </c>
      <c r="V27" s="8" t="s">
        <v>70</v>
      </c>
      <c r="W27" s="8" t="s">
        <v>70</v>
      </c>
      <c r="X27" s="8"/>
      <c r="Y27" s="8" t="s">
        <v>70</v>
      </c>
      <c r="Z27" s="8" t="s">
        <v>70</v>
      </c>
      <c r="AA27" s="8" t="s">
        <v>70</v>
      </c>
      <c r="AB27" s="8" t="s">
        <v>70</v>
      </c>
      <c r="AC27" s="8" t="s">
        <v>70</v>
      </c>
      <c r="AD27" s="8" t="s">
        <v>70</v>
      </c>
      <c r="AE27" s="8"/>
      <c r="AF27" s="8" t="s">
        <v>70</v>
      </c>
      <c r="AG27" s="8" t="s">
        <v>70</v>
      </c>
      <c r="AH27" s="8" t="s">
        <v>70</v>
      </c>
      <c r="AI27" s="9"/>
      <c r="AJ27" s="8">
        <f t="shared" si="2"/>
        <v>27</v>
      </c>
      <c r="AK27" s="8">
        <f t="shared" si="3"/>
        <v>27</v>
      </c>
      <c r="AL27" s="10">
        <f t="shared" si="3"/>
        <v>0</v>
      </c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20" priority="1" operator="containsText" text="A">
      <formula>NOT(ISERROR(SEARCH("A",D8)))</formula>
    </cfRule>
    <cfRule type="expression" dxfId="19" priority="5">
      <formula>D$6="Sun"</formula>
    </cfRule>
    <cfRule type="expression" dxfId="18" priority="6">
      <formula>D$6="Sun"</formula>
    </cfRule>
  </conditionalFormatting>
  <conditionalFormatting sqref="D6:AL7">
    <cfRule type="notContainsBlanks" dxfId="17" priority="2">
      <formula>LEN(TRIM(D6))&gt;0</formula>
    </cfRule>
    <cfRule type="notContainsBlanks" dxfId="16" priority="3">
      <formula>LEN(TRIM(D6))&gt;0</formula>
    </cfRule>
  </conditionalFormatting>
  <conditionalFormatting sqref="D6:AL27">
    <cfRule type="expression" dxfId="15" priority="4">
      <formula>D$6&lt;&gt;""</formula>
    </cfRule>
  </conditionalFormatting>
  <dataValidations count="4">
    <dataValidation type="custom" allowBlank="1" showInputMessage="1" showErrorMessage="1" errorTitle="Info" error="Week Off" sqref="D6:AH27" xr:uid="{00000000-0002-0000-0E00-000000000000}">
      <formula1>D$6&lt;&gt;"Sun"</formula1>
    </dataValidation>
    <dataValidation type="custom" allowBlank="1" showInputMessage="1" showErrorMessage="1" errorTitle="Info" error="Week Off" sqref="AI6:AL27" xr:uid="{00000000-0002-0000-0E00-000001000000}">
      <formula1>AI$6&lt;&gt;""</formula1>
    </dataValidation>
    <dataValidation type="list" allowBlank="1" showInputMessage="1" showErrorMessage="1" sqref="C4" xr:uid="{00000000-0002-0000-0E00-000002000000}">
      <formula1>"2024"</formula1>
    </dataValidation>
    <dataValidation type="list" allowBlank="1" showInputMessage="1" showErrorMessage="1" sqref="C3" xr:uid="{00000000-0002-0000-0E00-000003000000}">
      <formula1>"JANUARY,FEBRUARY,MARCH,APRIL,MAY,JUNE,JULY,AUGUST,SEPTEMBER,NOVEMBER,DECEMBER"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L27"/>
  <sheetViews>
    <sheetView showGridLines="0" zoomScale="40" zoomScaleNormal="40" workbookViewId="0">
      <selection activeCell="A2" sqref="A2"/>
    </sheetView>
  </sheetViews>
  <sheetFormatPr defaultRowHeight="14.4" x14ac:dyDescent="0.3"/>
  <cols>
    <col min="1" max="1" width="37.5546875" customWidth="1"/>
    <col min="2" max="2" width="27.6640625" bestFit="1" customWidth="1"/>
    <col min="3" max="3" width="23.44140625" bestFit="1" customWidth="1"/>
    <col min="4" max="34" width="10.109375" bestFit="1" customWidth="1"/>
    <col min="36" max="36" width="17" bestFit="1" customWidth="1"/>
    <col min="37" max="37" width="5.109375" bestFit="1" customWidth="1"/>
    <col min="38" max="38" width="3.6640625" bestFit="1" customWidth="1"/>
  </cols>
  <sheetData>
    <row r="1" spans="1:38" ht="89.25" customHeight="1" thickBot="1" x14ac:dyDescent="0.35"/>
    <row r="2" spans="1:38" ht="55.2" x14ac:dyDescent="1.3">
      <c r="A2" s="196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30.75" customHeight="1" x14ac:dyDescent="0.4">
      <c r="B3" s="11" t="s">
        <v>64</v>
      </c>
      <c r="C3" s="12" t="s">
        <v>78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27" customHeight="1" x14ac:dyDescent="0.4">
      <c r="B4" s="11" t="s">
        <v>65</v>
      </c>
      <c r="C4" s="12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30.75" customHeight="1" thickBot="1" x14ac:dyDescent="0.4">
      <c r="B5" s="3">
        <f>DATEVALUE("1"&amp;C3&amp;C4)</f>
        <v>45597</v>
      </c>
      <c r="C5" s="2">
        <f>EOMONTH(B5,0)</f>
        <v>45626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38.4" x14ac:dyDescent="0.4">
      <c r="B6" s="298" t="s">
        <v>2</v>
      </c>
      <c r="C6" s="299" t="s">
        <v>3</v>
      </c>
      <c r="D6" s="21" t="str">
        <f>TEXT(D7,"DDD")</f>
        <v>Fri</v>
      </c>
      <c r="E6" s="21" t="str">
        <f t="shared" ref="E6:AG6" si="0">TEXT(E7,"DDD")</f>
        <v>Sat</v>
      </c>
      <c r="F6" s="21" t="str">
        <f t="shared" si="0"/>
        <v>Sun</v>
      </c>
      <c r="G6" s="21" t="str">
        <f t="shared" si="0"/>
        <v>Mon</v>
      </c>
      <c r="H6" s="21" t="str">
        <f t="shared" si="0"/>
        <v>Tue</v>
      </c>
      <c r="I6" s="21" t="str">
        <f t="shared" si="0"/>
        <v>Wed</v>
      </c>
      <c r="J6" s="21" t="str">
        <f t="shared" si="0"/>
        <v>Thu</v>
      </c>
      <c r="K6" s="21" t="str">
        <f t="shared" si="0"/>
        <v>Fri</v>
      </c>
      <c r="L6" s="21" t="str">
        <f t="shared" si="0"/>
        <v>Sat</v>
      </c>
      <c r="M6" s="21" t="str">
        <f t="shared" si="0"/>
        <v>Sun</v>
      </c>
      <c r="N6" s="21" t="str">
        <f t="shared" si="0"/>
        <v>Mon</v>
      </c>
      <c r="O6" s="21" t="str">
        <f t="shared" si="0"/>
        <v>Tue</v>
      </c>
      <c r="P6" s="21" t="str">
        <f t="shared" si="0"/>
        <v>Wed</v>
      </c>
      <c r="Q6" s="21" t="str">
        <f t="shared" si="0"/>
        <v>Thu</v>
      </c>
      <c r="R6" s="21" t="str">
        <f t="shared" si="0"/>
        <v>Fri</v>
      </c>
      <c r="S6" s="21" t="str">
        <f t="shared" si="0"/>
        <v>Sat</v>
      </c>
      <c r="T6" s="21" t="str">
        <f t="shared" si="0"/>
        <v>Sun</v>
      </c>
      <c r="U6" s="21" t="str">
        <f t="shared" si="0"/>
        <v>Mon</v>
      </c>
      <c r="V6" s="21" t="str">
        <f t="shared" si="0"/>
        <v>Tue</v>
      </c>
      <c r="W6" s="21" t="str">
        <f t="shared" si="0"/>
        <v>Wed</v>
      </c>
      <c r="X6" s="21" t="str">
        <f t="shared" si="0"/>
        <v>Thu</v>
      </c>
      <c r="Y6" s="21" t="str">
        <f t="shared" si="0"/>
        <v>Fri</v>
      </c>
      <c r="Z6" s="21" t="str">
        <f t="shared" si="0"/>
        <v>Sat</v>
      </c>
      <c r="AA6" s="21" t="str">
        <f t="shared" si="0"/>
        <v>Sun</v>
      </c>
      <c r="AB6" s="21" t="str">
        <f t="shared" si="0"/>
        <v>Mon</v>
      </c>
      <c r="AC6" s="21" t="str">
        <f t="shared" si="0"/>
        <v>Tue</v>
      </c>
      <c r="AD6" s="21" t="str">
        <f t="shared" si="0"/>
        <v>Wed</v>
      </c>
      <c r="AE6" s="21" t="str">
        <f t="shared" si="0"/>
        <v>Thu</v>
      </c>
      <c r="AF6" s="21" t="str">
        <f t="shared" si="0"/>
        <v>Fri</v>
      </c>
      <c r="AG6" s="21" t="str">
        <f t="shared" si="0"/>
        <v>Sat</v>
      </c>
      <c r="AH6" s="22"/>
      <c r="AI6" s="304" t="s">
        <v>69</v>
      </c>
      <c r="AJ6" s="304" t="s">
        <v>70</v>
      </c>
      <c r="AK6" s="305" t="s">
        <v>71</v>
      </c>
    </row>
    <row r="7" spans="1:38" ht="21" x14ac:dyDescent="0.4">
      <c r="B7" s="281"/>
      <c r="C7" s="282"/>
      <c r="D7" s="23">
        <f>B5</f>
        <v>45597</v>
      </c>
      <c r="E7" s="23">
        <f>IFERROR(IF(D7+1&gt;$C$5,"",D7+1),"")</f>
        <v>45598</v>
      </c>
      <c r="F7" s="23">
        <f t="shared" ref="F7:AG7" si="1">IFERROR(IF(E7+1&gt;$C$5,"",E7+1),"")</f>
        <v>45599</v>
      </c>
      <c r="G7" s="23">
        <f t="shared" si="1"/>
        <v>45600</v>
      </c>
      <c r="H7" s="23">
        <f t="shared" si="1"/>
        <v>45601</v>
      </c>
      <c r="I7" s="23">
        <f t="shared" si="1"/>
        <v>45602</v>
      </c>
      <c r="J7" s="23">
        <f t="shared" si="1"/>
        <v>45603</v>
      </c>
      <c r="K7" s="23">
        <f t="shared" si="1"/>
        <v>45604</v>
      </c>
      <c r="L7" s="23">
        <f t="shared" si="1"/>
        <v>45605</v>
      </c>
      <c r="M7" s="23">
        <f t="shared" si="1"/>
        <v>45606</v>
      </c>
      <c r="N7" s="23">
        <f t="shared" si="1"/>
        <v>45607</v>
      </c>
      <c r="O7" s="23">
        <f t="shared" si="1"/>
        <v>45608</v>
      </c>
      <c r="P7" s="23">
        <f t="shared" si="1"/>
        <v>45609</v>
      </c>
      <c r="Q7" s="23">
        <f t="shared" si="1"/>
        <v>45610</v>
      </c>
      <c r="R7" s="23">
        <f t="shared" si="1"/>
        <v>45611</v>
      </c>
      <c r="S7" s="23">
        <f>IFERROR(IF(R7+1&gt;$C$5,"",R7+1),"")</f>
        <v>45612</v>
      </c>
      <c r="T7" s="23">
        <f t="shared" si="1"/>
        <v>45613</v>
      </c>
      <c r="U7" s="23">
        <f t="shared" si="1"/>
        <v>45614</v>
      </c>
      <c r="V7" s="23">
        <f t="shared" si="1"/>
        <v>45615</v>
      </c>
      <c r="W7" s="23">
        <f t="shared" si="1"/>
        <v>45616</v>
      </c>
      <c r="X7" s="23">
        <f t="shared" si="1"/>
        <v>45617</v>
      </c>
      <c r="Y7" s="23">
        <f t="shared" si="1"/>
        <v>45618</v>
      </c>
      <c r="Z7" s="23">
        <f>IFERROR(IF(Y7+1&gt;$C$5,"",Y7+1),"")</f>
        <v>45619</v>
      </c>
      <c r="AA7" s="23">
        <f t="shared" si="1"/>
        <v>45620</v>
      </c>
      <c r="AB7" s="23">
        <f t="shared" si="1"/>
        <v>45621</v>
      </c>
      <c r="AC7" s="23">
        <f t="shared" si="1"/>
        <v>45622</v>
      </c>
      <c r="AD7" s="23">
        <f t="shared" si="1"/>
        <v>45623</v>
      </c>
      <c r="AE7" s="23">
        <f t="shared" si="1"/>
        <v>45624</v>
      </c>
      <c r="AF7" s="23">
        <f t="shared" si="1"/>
        <v>45625</v>
      </c>
      <c r="AG7" s="23">
        <f t="shared" si="1"/>
        <v>45626</v>
      </c>
      <c r="AH7" s="22"/>
      <c r="AI7" s="304"/>
      <c r="AJ7" s="304"/>
      <c r="AK7" s="305"/>
    </row>
    <row r="8" spans="1:38" ht="21" x14ac:dyDescent="0.4">
      <c r="B8" s="7">
        <v>3427</v>
      </c>
      <c r="C8" s="1" t="s">
        <v>4</v>
      </c>
      <c r="D8" s="24" t="s">
        <v>70</v>
      </c>
      <c r="E8" s="24" t="s">
        <v>70</v>
      </c>
      <c r="F8" s="24"/>
      <c r="G8" s="24" t="s">
        <v>70</v>
      </c>
      <c r="H8" s="24" t="s">
        <v>70</v>
      </c>
      <c r="I8" s="24" t="s">
        <v>70</v>
      </c>
      <c r="J8" s="24" t="s">
        <v>70</v>
      </c>
      <c r="K8" s="24" t="s">
        <v>70</v>
      </c>
      <c r="L8" s="24" t="s">
        <v>70</v>
      </c>
      <c r="M8" s="24"/>
      <c r="N8" s="24" t="s">
        <v>70</v>
      </c>
      <c r="O8" s="24" t="s">
        <v>70</v>
      </c>
      <c r="P8" s="24" t="s">
        <v>70</v>
      </c>
      <c r="Q8" s="24" t="s">
        <v>70</v>
      </c>
      <c r="R8" s="24" t="s">
        <v>70</v>
      </c>
      <c r="S8" s="24" t="s">
        <v>70</v>
      </c>
      <c r="T8" s="24"/>
      <c r="U8" s="24" t="s">
        <v>70</v>
      </c>
      <c r="V8" s="24" t="s">
        <v>70</v>
      </c>
      <c r="W8" s="24" t="s">
        <v>70</v>
      </c>
      <c r="X8" s="24" t="s">
        <v>70</v>
      </c>
      <c r="Y8" s="24" t="s">
        <v>70</v>
      </c>
      <c r="Z8" s="24" t="s">
        <v>70</v>
      </c>
      <c r="AA8" s="24"/>
      <c r="AB8" s="24" t="s">
        <v>70</v>
      </c>
      <c r="AC8" s="24" t="s">
        <v>70</v>
      </c>
      <c r="AD8" s="24" t="s">
        <v>70</v>
      </c>
      <c r="AE8" s="24" t="s">
        <v>70</v>
      </c>
      <c r="AF8" s="24" t="s">
        <v>70</v>
      </c>
      <c r="AG8" s="24" t="s">
        <v>70</v>
      </c>
      <c r="AH8" s="25"/>
      <c r="AI8" s="24">
        <f>SUM(AJ8,AK8)</f>
        <v>26</v>
      </c>
      <c r="AJ8" s="24">
        <f t="shared" ref="AJ8:AJ27" si="2">COUNTIF(D8:AG8,AJ$6)</f>
        <v>26</v>
      </c>
      <c r="AK8" s="26">
        <f t="shared" ref="AK8:AK27" si="3">COUNTIF(E8:AH8,AK$6)</f>
        <v>0</v>
      </c>
    </row>
    <row r="9" spans="1:38" ht="21" x14ac:dyDescent="0.4">
      <c r="B9" s="7">
        <v>3428</v>
      </c>
      <c r="C9" s="1" t="s">
        <v>5</v>
      </c>
      <c r="D9" s="24" t="s">
        <v>70</v>
      </c>
      <c r="E9" s="24" t="s">
        <v>70</v>
      </c>
      <c r="F9" s="24"/>
      <c r="G9" s="24" t="s">
        <v>70</v>
      </c>
      <c r="H9" s="24" t="s">
        <v>70</v>
      </c>
      <c r="I9" s="24" t="s">
        <v>70</v>
      </c>
      <c r="J9" s="24" t="s">
        <v>70</v>
      </c>
      <c r="K9" s="24" t="s">
        <v>70</v>
      </c>
      <c r="L9" s="24" t="s">
        <v>70</v>
      </c>
      <c r="M9" s="24"/>
      <c r="N9" s="24" t="s">
        <v>70</v>
      </c>
      <c r="O9" s="24" t="s">
        <v>70</v>
      </c>
      <c r="P9" s="24" t="s">
        <v>70</v>
      </c>
      <c r="Q9" s="24" t="s">
        <v>70</v>
      </c>
      <c r="R9" s="24" t="s">
        <v>70</v>
      </c>
      <c r="S9" s="24" t="s">
        <v>70</v>
      </c>
      <c r="T9" s="24"/>
      <c r="U9" s="24" t="s">
        <v>70</v>
      </c>
      <c r="V9" s="24" t="s">
        <v>70</v>
      </c>
      <c r="W9" s="24" t="s">
        <v>70</v>
      </c>
      <c r="X9" s="24" t="s">
        <v>70</v>
      </c>
      <c r="Y9" s="24" t="s">
        <v>70</v>
      </c>
      <c r="Z9" s="24" t="s">
        <v>70</v>
      </c>
      <c r="AA9" s="24"/>
      <c r="AB9" s="24" t="s">
        <v>70</v>
      </c>
      <c r="AC9" s="24" t="s">
        <v>70</v>
      </c>
      <c r="AD9" s="24" t="s">
        <v>70</v>
      </c>
      <c r="AE9" s="24" t="s">
        <v>70</v>
      </c>
      <c r="AF9" s="24" t="s">
        <v>70</v>
      </c>
      <c r="AG9" s="24" t="s">
        <v>70</v>
      </c>
      <c r="AH9" s="25"/>
      <c r="AI9" s="24">
        <f t="shared" ref="AI9:AI27" si="4">SUM(AJ9,AK9)</f>
        <v>26</v>
      </c>
      <c r="AJ9" s="24">
        <f t="shared" si="2"/>
        <v>26</v>
      </c>
      <c r="AK9" s="26">
        <f t="shared" si="3"/>
        <v>0</v>
      </c>
    </row>
    <row r="10" spans="1:38" ht="21" x14ac:dyDescent="0.4">
      <c r="B10" s="7">
        <v>3429</v>
      </c>
      <c r="C10" s="1" t="s">
        <v>6</v>
      </c>
      <c r="D10" s="24" t="s">
        <v>70</v>
      </c>
      <c r="E10" s="24" t="s">
        <v>70</v>
      </c>
      <c r="F10" s="24"/>
      <c r="G10" s="24" t="s">
        <v>70</v>
      </c>
      <c r="H10" s="24" t="s">
        <v>70</v>
      </c>
      <c r="I10" s="24" t="s">
        <v>70</v>
      </c>
      <c r="J10" s="24" t="s">
        <v>70</v>
      </c>
      <c r="K10" s="24" t="s">
        <v>70</v>
      </c>
      <c r="L10" s="24" t="s">
        <v>70</v>
      </c>
      <c r="M10" s="24"/>
      <c r="N10" s="24" t="s">
        <v>70</v>
      </c>
      <c r="O10" s="24" t="s">
        <v>70</v>
      </c>
      <c r="P10" s="24" t="s">
        <v>70</v>
      </c>
      <c r="Q10" s="24" t="s">
        <v>70</v>
      </c>
      <c r="R10" s="24" t="s">
        <v>70</v>
      </c>
      <c r="S10" s="24" t="s">
        <v>70</v>
      </c>
      <c r="T10" s="24"/>
      <c r="U10" s="24" t="s">
        <v>70</v>
      </c>
      <c r="V10" s="24" t="s">
        <v>70</v>
      </c>
      <c r="W10" s="24" t="s">
        <v>70</v>
      </c>
      <c r="X10" s="24" t="s">
        <v>70</v>
      </c>
      <c r="Y10" s="24" t="s">
        <v>70</v>
      </c>
      <c r="Z10" s="24" t="s">
        <v>70</v>
      </c>
      <c r="AA10" s="24"/>
      <c r="AB10" s="24" t="s">
        <v>70</v>
      </c>
      <c r="AC10" s="24" t="s">
        <v>70</v>
      </c>
      <c r="AD10" s="24" t="s">
        <v>70</v>
      </c>
      <c r="AE10" s="24" t="s">
        <v>70</v>
      </c>
      <c r="AF10" s="24" t="s">
        <v>70</v>
      </c>
      <c r="AG10" s="24" t="s">
        <v>70</v>
      </c>
      <c r="AH10" s="25"/>
      <c r="AI10" s="24">
        <f t="shared" si="4"/>
        <v>26</v>
      </c>
      <c r="AJ10" s="24">
        <f t="shared" si="2"/>
        <v>26</v>
      </c>
      <c r="AK10" s="26">
        <f t="shared" si="3"/>
        <v>0</v>
      </c>
    </row>
    <row r="11" spans="1:38" ht="21" x14ac:dyDescent="0.4">
      <c r="B11" s="7">
        <v>3430</v>
      </c>
      <c r="C11" s="1" t="s">
        <v>7</v>
      </c>
      <c r="D11" s="24" t="s">
        <v>70</v>
      </c>
      <c r="E11" s="24" t="s">
        <v>70</v>
      </c>
      <c r="F11" s="24"/>
      <c r="G11" s="24" t="s">
        <v>70</v>
      </c>
      <c r="H11" s="24" t="s">
        <v>70</v>
      </c>
      <c r="I11" s="24" t="s">
        <v>70</v>
      </c>
      <c r="J11" s="24" t="s">
        <v>70</v>
      </c>
      <c r="K11" s="24" t="s">
        <v>70</v>
      </c>
      <c r="L11" s="24" t="s">
        <v>70</v>
      </c>
      <c r="M11" s="24"/>
      <c r="N11" s="24" t="s">
        <v>70</v>
      </c>
      <c r="O11" s="24" t="s">
        <v>70</v>
      </c>
      <c r="P11" s="24" t="s">
        <v>70</v>
      </c>
      <c r="Q11" s="24" t="s">
        <v>70</v>
      </c>
      <c r="R11" s="24" t="s">
        <v>70</v>
      </c>
      <c r="S11" s="24" t="s">
        <v>70</v>
      </c>
      <c r="T11" s="24"/>
      <c r="U11" s="24" t="s">
        <v>70</v>
      </c>
      <c r="V11" s="24" t="s">
        <v>70</v>
      </c>
      <c r="W11" s="24" t="s">
        <v>70</v>
      </c>
      <c r="X11" s="24" t="s">
        <v>70</v>
      </c>
      <c r="Y11" s="24" t="s">
        <v>70</v>
      </c>
      <c r="Z11" s="24" t="s">
        <v>70</v>
      </c>
      <c r="AA11" s="24"/>
      <c r="AB11" s="24" t="s">
        <v>70</v>
      </c>
      <c r="AC11" s="24" t="s">
        <v>70</v>
      </c>
      <c r="AD11" s="24" t="s">
        <v>70</v>
      </c>
      <c r="AE11" s="24" t="s">
        <v>70</v>
      </c>
      <c r="AF11" s="24" t="s">
        <v>70</v>
      </c>
      <c r="AG11" s="24" t="s">
        <v>70</v>
      </c>
      <c r="AH11" s="25"/>
      <c r="AI11" s="24">
        <f t="shared" si="4"/>
        <v>26</v>
      </c>
      <c r="AJ11" s="24">
        <f t="shared" si="2"/>
        <v>26</v>
      </c>
      <c r="AK11" s="26">
        <f t="shared" si="3"/>
        <v>0</v>
      </c>
    </row>
    <row r="12" spans="1:38" ht="21" x14ac:dyDescent="0.4">
      <c r="B12" s="7">
        <v>3431</v>
      </c>
      <c r="C12" s="1" t="s">
        <v>8</v>
      </c>
      <c r="D12" s="24" t="s">
        <v>70</v>
      </c>
      <c r="E12" s="24" t="s">
        <v>70</v>
      </c>
      <c r="F12" s="24"/>
      <c r="G12" s="24" t="s">
        <v>70</v>
      </c>
      <c r="H12" s="24" t="s">
        <v>70</v>
      </c>
      <c r="I12" s="24" t="s">
        <v>70</v>
      </c>
      <c r="J12" s="24" t="s">
        <v>70</v>
      </c>
      <c r="K12" s="24" t="s">
        <v>70</v>
      </c>
      <c r="L12" s="24" t="s">
        <v>70</v>
      </c>
      <c r="M12" s="24"/>
      <c r="N12" s="24" t="s">
        <v>70</v>
      </c>
      <c r="O12" s="24" t="s">
        <v>70</v>
      </c>
      <c r="P12" s="24" t="s">
        <v>70</v>
      </c>
      <c r="Q12" s="24" t="s">
        <v>70</v>
      </c>
      <c r="R12" s="24" t="s">
        <v>70</v>
      </c>
      <c r="S12" s="24" t="s">
        <v>70</v>
      </c>
      <c r="T12" s="24"/>
      <c r="U12" s="24" t="s">
        <v>70</v>
      </c>
      <c r="V12" s="24" t="s">
        <v>70</v>
      </c>
      <c r="W12" s="24" t="s">
        <v>70</v>
      </c>
      <c r="X12" s="24" t="s">
        <v>70</v>
      </c>
      <c r="Y12" s="24" t="s">
        <v>70</v>
      </c>
      <c r="Z12" s="24" t="s">
        <v>70</v>
      </c>
      <c r="AA12" s="24"/>
      <c r="AB12" s="24" t="s">
        <v>70</v>
      </c>
      <c r="AC12" s="24" t="s">
        <v>70</v>
      </c>
      <c r="AD12" s="24" t="s">
        <v>70</v>
      </c>
      <c r="AE12" s="24" t="s">
        <v>70</v>
      </c>
      <c r="AF12" s="24" t="s">
        <v>70</v>
      </c>
      <c r="AG12" s="24" t="s">
        <v>70</v>
      </c>
      <c r="AH12" s="25"/>
      <c r="AI12" s="24">
        <f t="shared" si="4"/>
        <v>26</v>
      </c>
      <c r="AJ12" s="24">
        <f t="shared" si="2"/>
        <v>26</v>
      </c>
      <c r="AK12" s="26">
        <f t="shared" si="3"/>
        <v>0</v>
      </c>
    </row>
    <row r="13" spans="1:38" ht="21" x14ac:dyDescent="0.4">
      <c r="B13" s="7">
        <v>3432</v>
      </c>
      <c r="C13" s="1" t="s">
        <v>9</v>
      </c>
      <c r="D13" s="24" t="s">
        <v>70</v>
      </c>
      <c r="E13" s="24" t="s">
        <v>70</v>
      </c>
      <c r="F13" s="24"/>
      <c r="G13" s="24" t="s">
        <v>70</v>
      </c>
      <c r="H13" s="24" t="s">
        <v>70</v>
      </c>
      <c r="I13" s="24" t="s">
        <v>70</v>
      </c>
      <c r="J13" s="24" t="s">
        <v>70</v>
      </c>
      <c r="K13" s="24" t="s">
        <v>70</v>
      </c>
      <c r="L13" s="24" t="s">
        <v>70</v>
      </c>
      <c r="M13" s="24"/>
      <c r="N13" s="24" t="s">
        <v>70</v>
      </c>
      <c r="O13" s="24" t="s">
        <v>70</v>
      </c>
      <c r="P13" s="24" t="s">
        <v>70</v>
      </c>
      <c r="Q13" s="24" t="s">
        <v>70</v>
      </c>
      <c r="R13" s="24" t="s">
        <v>70</v>
      </c>
      <c r="S13" s="24" t="s">
        <v>70</v>
      </c>
      <c r="T13" s="24"/>
      <c r="U13" s="24" t="s">
        <v>70</v>
      </c>
      <c r="V13" s="24" t="s">
        <v>70</v>
      </c>
      <c r="W13" s="24" t="s">
        <v>70</v>
      </c>
      <c r="X13" s="24" t="s">
        <v>70</v>
      </c>
      <c r="Y13" s="24" t="s">
        <v>71</v>
      </c>
      <c r="Z13" s="24" t="s">
        <v>70</v>
      </c>
      <c r="AA13" s="24"/>
      <c r="AB13" s="24" t="s">
        <v>70</v>
      </c>
      <c r="AC13" s="24" t="s">
        <v>70</v>
      </c>
      <c r="AD13" s="24" t="s">
        <v>70</v>
      </c>
      <c r="AE13" s="24" t="s">
        <v>71</v>
      </c>
      <c r="AF13" s="24" t="s">
        <v>70</v>
      </c>
      <c r="AG13" s="24" t="s">
        <v>70</v>
      </c>
      <c r="AH13" s="25"/>
      <c r="AI13" s="24">
        <f t="shared" si="4"/>
        <v>26</v>
      </c>
      <c r="AJ13" s="24">
        <f t="shared" si="2"/>
        <v>24</v>
      </c>
      <c r="AK13" s="26">
        <f t="shared" si="3"/>
        <v>2</v>
      </c>
    </row>
    <row r="14" spans="1:38" ht="21" x14ac:dyDescent="0.4">
      <c r="B14" s="7">
        <v>3433</v>
      </c>
      <c r="C14" s="1" t="s">
        <v>10</v>
      </c>
      <c r="D14" s="24" t="s">
        <v>70</v>
      </c>
      <c r="E14" s="24" t="s">
        <v>70</v>
      </c>
      <c r="F14" s="24"/>
      <c r="G14" s="24" t="s">
        <v>70</v>
      </c>
      <c r="H14" s="24" t="s">
        <v>70</v>
      </c>
      <c r="I14" s="24" t="s">
        <v>70</v>
      </c>
      <c r="J14" s="24" t="s">
        <v>70</v>
      </c>
      <c r="K14" s="24" t="s">
        <v>70</v>
      </c>
      <c r="L14" s="24" t="s">
        <v>70</v>
      </c>
      <c r="M14" s="24"/>
      <c r="N14" s="24" t="s">
        <v>70</v>
      </c>
      <c r="O14" s="24" t="s">
        <v>70</v>
      </c>
      <c r="P14" s="24" t="s">
        <v>70</v>
      </c>
      <c r="Q14" s="24" t="s">
        <v>70</v>
      </c>
      <c r="R14" s="24" t="s">
        <v>70</v>
      </c>
      <c r="S14" s="24" t="s">
        <v>70</v>
      </c>
      <c r="T14" s="24"/>
      <c r="U14" s="24" t="s">
        <v>70</v>
      </c>
      <c r="V14" s="24" t="s">
        <v>70</v>
      </c>
      <c r="W14" s="24" t="s">
        <v>70</v>
      </c>
      <c r="X14" s="24" t="s">
        <v>70</v>
      </c>
      <c r="Y14" s="24" t="s">
        <v>70</v>
      </c>
      <c r="Z14" s="24" t="s">
        <v>70</v>
      </c>
      <c r="AA14" s="24"/>
      <c r="AB14" s="24" t="s">
        <v>70</v>
      </c>
      <c r="AC14" s="24" t="s">
        <v>70</v>
      </c>
      <c r="AD14" s="24" t="s">
        <v>70</v>
      </c>
      <c r="AE14" s="24" t="s">
        <v>70</v>
      </c>
      <c r="AF14" s="24" t="s">
        <v>70</v>
      </c>
      <c r="AG14" s="24" t="s">
        <v>70</v>
      </c>
      <c r="AH14" s="25"/>
      <c r="AI14" s="24">
        <f t="shared" si="4"/>
        <v>26</v>
      </c>
      <c r="AJ14" s="24">
        <f t="shared" si="2"/>
        <v>26</v>
      </c>
      <c r="AK14" s="26">
        <f t="shared" si="3"/>
        <v>0</v>
      </c>
    </row>
    <row r="15" spans="1:38" ht="21" x14ac:dyDescent="0.4">
      <c r="B15" s="7">
        <v>3434</v>
      </c>
      <c r="C15" s="1" t="s">
        <v>11</v>
      </c>
      <c r="D15" s="24" t="s">
        <v>70</v>
      </c>
      <c r="E15" s="24" t="s">
        <v>70</v>
      </c>
      <c r="F15" s="24"/>
      <c r="G15" s="24" t="s">
        <v>70</v>
      </c>
      <c r="H15" s="24" t="s">
        <v>70</v>
      </c>
      <c r="I15" s="24" t="s">
        <v>70</v>
      </c>
      <c r="J15" s="24" t="s">
        <v>70</v>
      </c>
      <c r="K15" s="24" t="s">
        <v>70</v>
      </c>
      <c r="L15" s="24" t="s">
        <v>70</v>
      </c>
      <c r="M15" s="24"/>
      <c r="N15" s="24" t="s">
        <v>70</v>
      </c>
      <c r="O15" s="24" t="s">
        <v>70</v>
      </c>
      <c r="P15" s="24" t="s">
        <v>71</v>
      </c>
      <c r="Q15" s="24" t="s">
        <v>70</v>
      </c>
      <c r="R15" s="24" t="s">
        <v>70</v>
      </c>
      <c r="S15" s="24" t="s">
        <v>70</v>
      </c>
      <c r="T15" s="24"/>
      <c r="U15" s="24" t="s">
        <v>70</v>
      </c>
      <c r="V15" s="24" t="s">
        <v>70</v>
      </c>
      <c r="W15" s="24" t="s">
        <v>70</v>
      </c>
      <c r="X15" s="24" t="s">
        <v>70</v>
      </c>
      <c r="Y15" s="24" t="s">
        <v>70</v>
      </c>
      <c r="Z15" s="24" t="s">
        <v>70</v>
      </c>
      <c r="AA15" s="24"/>
      <c r="AB15" s="24" t="s">
        <v>70</v>
      </c>
      <c r="AC15" s="24" t="s">
        <v>70</v>
      </c>
      <c r="AD15" s="24" t="s">
        <v>70</v>
      </c>
      <c r="AE15" s="24" t="s">
        <v>70</v>
      </c>
      <c r="AF15" s="24" t="s">
        <v>70</v>
      </c>
      <c r="AG15" s="24" t="s">
        <v>70</v>
      </c>
      <c r="AH15" s="25"/>
      <c r="AI15" s="24">
        <f t="shared" si="4"/>
        <v>26</v>
      </c>
      <c r="AJ15" s="24">
        <f t="shared" si="2"/>
        <v>25</v>
      </c>
      <c r="AK15" s="26">
        <f t="shared" si="3"/>
        <v>1</v>
      </c>
    </row>
    <row r="16" spans="1:38" ht="21" x14ac:dyDescent="0.4">
      <c r="B16" s="7">
        <v>3435</v>
      </c>
      <c r="C16" s="1" t="s">
        <v>12</v>
      </c>
      <c r="D16" s="24" t="s">
        <v>70</v>
      </c>
      <c r="E16" s="24" t="s">
        <v>70</v>
      </c>
      <c r="F16" s="24"/>
      <c r="G16" s="24" t="s">
        <v>70</v>
      </c>
      <c r="H16" s="24" t="s">
        <v>70</v>
      </c>
      <c r="I16" s="24" t="s">
        <v>70</v>
      </c>
      <c r="J16" s="24" t="s">
        <v>70</v>
      </c>
      <c r="K16" s="24" t="s">
        <v>70</v>
      </c>
      <c r="L16" s="24" t="s">
        <v>70</v>
      </c>
      <c r="M16" s="24"/>
      <c r="N16" s="24" t="s">
        <v>70</v>
      </c>
      <c r="O16" s="24" t="s">
        <v>70</v>
      </c>
      <c r="P16" s="24" t="s">
        <v>70</v>
      </c>
      <c r="Q16" s="24" t="s">
        <v>70</v>
      </c>
      <c r="R16" s="24" t="s">
        <v>70</v>
      </c>
      <c r="S16" s="24" t="s">
        <v>70</v>
      </c>
      <c r="T16" s="24"/>
      <c r="U16" s="24" t="s">
        <v>70</v>
      </c>
      <c r="V16" s="24" t="s">
        <v>70</v>
      </c>
      <c r="W16" s="24" t="s">
        <v>71</v>
      </c>
      <c r="X16" s="24" t="s">
        <v>70</v>
      </c>
      <c r="Y16" s="24" t="s">
        <v>70</v>
      </c>
      <c r="Z16" s="24" t="s">
        <v>70</v>
      </c>
      <c r="AA16" s="24"/>
      <c r="AB16" s="24" t="s">
        <v>70</v>
      </c>
      <c r="AC16" s="24" t="s">
        <v>70</v>
      </c>
      <c r="AD16" s="24" t="s">
        <v>70</v>
      </c>
      <c r="AE16" s="24" t="s">
        <v>70</v>
      </c>
      <c r="AF16" s="24" t="s">
        <v>70</v>
      </c>
      <c r="AG16" s="24" t="s">
        <v>70</v>
      </c>
      <c r="AH16" s="25"/>
      <c r="AI16" s="24">
        <f t="shared" si="4"/>
        <v>26</v>
      </c>
      <c r="AJ16" s="24">
        <f t="shared" si="2"/>
        <v>25</v>
      </c>
      <c r="AK16" s="26">
        <f t="shared" si="3"/>
        <v>1</v>
      </c>
    </row>
    <row r="17" spans="2:37" ht="21" x14ac:dyDescent="0.4">
      <c r="B17" s="7">
        <v>3436</v>
      </c>
      <c r="C17" s="1" t="s">
        <v>13</v>
      </c>
      <c r="D17" s="24" t="s">
        <v>70</v>
      </c>
      <c r="E17" s="24" t="s">
        <v>70</v>
      </c>
      <c r="F17" s="24"/>
      <c r="G17" s="24" t="s">
        <v>70</v>
      </c>
      <c r="H17" s="24" t="s">
        <v>70</v>
      </c>
      <c r="I17" s="24" t="s">
        <v>70</v>
      </c>
      <c r="J17" s="24" t="s">
        <v>70</v>
      </c>
      <c r="K17" s="24" t="s">
        <v>70</v>
      </c>
      <c r="L17" s="24" t="s">
        <v>70</v>
      </c>
      <c r="M17" s="24"/>
      <c r="N17" s="24" t="s">
        <v>70</v>
      </c>
      <c r="O17" s="24" t="s">
        <v>70</v>
      </c>
      <c r="P17" s="24" t="s">
        <v>70</v>
      </c>
      <c r="Q17" s="24" t="s">
        <v>70</v>
      </c>
      <c r="R17" s="24" t="s">
        <v>70</v>
      </c>
      <c r="S17" s="24" t="s">
        <v>70</v>
      </c>
      <c r="T17" s="24"/>
      <c r="U17" s="24" t="s">
        <v>70</v>
      </c>
      <c r="V17" s="24" t="s">
        <v>70</v>
      </c>
      <c r="W17" s="24" t="s">
        <v>70</v>
      </c>
      <c r="X17" s="24" t="s">
        <v>70</v>
      </c>
      <c r="Y17" s="24" t="s">
        <v>70</v>
      </c>
      <c r="Z17" s="24" t="s">
        <v>70</v>
      </c>
      <c r="AA17" s="24"/>
      <c r="AB17" s="24" t="s">
        <v>70</v>
      </c>
      <c r="AC17" s="24" t="s">
        <v>70</v>
      </c>
      <c r="AD17" s="24" t="s">
        <v>70</v>
      </c>
      <c r="AE17" s="24" t="s">
        <v>70</v>
      </c>
      <c r="AF17" s="24" t="s">
        <v>70</v>
      </c>
      <c r="AG17" s="24" t="s">
        <v>70</v>
      </c>
      <c r="AH17" s="25"/>
      <c r="AI17" s="24">
        <f t="shared" si="4"/>
        <v>26</v>
      </c>
      <c r="AJ17" s="24">
        <f t="shared" si="2"/>
        <v>26</v>
      </c>
      <c r="AK17" s="26">
        <f t="shared" si="3"/>
        <v>0</v>
      </c>
    </row>
    <row r="18" spans="2:37" ht="21" x14ac:dyDescent="0.4">
      <c r="B18" s="7">
        <v>3437</v>
      </c>
      <c r="C18" s="1" t="s">
        <v>14</v>
      </c>
      <c r="D18" s="24" t="s">
        <v>70</v>
      </c>
      <c r="E18" s="24" t="s">
        <v>70</v>
      </c>
      <c r="F18" s="24"/>
      <c r="G18" s="24" t="s">
        <v>70</v>
      </c>
      <c r="H18" s="24" t="s">
        <v>70</v>
      </c>
      <c r="I18" s="24" t="s">
        <v>70</v>
      </c>
      <c r="J18" s="24" t="s">
        <v>70</v>
      </c>
      <c r="K18" s="24" t="s">
        <v>71</v>
      </c>
      <c r="L18" s="24" t="s">
        <v>70</v>
      </c>
      <c r="M18" s="24"/>
      <c r="N18" s="24" t="s">
        <v>70</v>
      </c>
      <c r="O18" s="24" t="s">
        <v>70</v>
      </c>
      <c r="P18" s="24" t="s">
        <v>70</v>
      </c>
      <c r="Q18" s="24" t="s">
        <v>70</v>
      </c>
      <c r="R18" s="24" t="s">
        <v>70</v>
      </c>
      <c r="S18" s="24" t="s">
        <v>70</v>
      </c>
      <c r="T18" s="24"/>
      <c r="U18" s="24" t="s">
        <v>70</v>
      </c>
      <c r="V18" s="24" t="s">
        <v>70</v>
      </c>
      <c r="W18" s="24" t="s">
        <v>70</v>
      </c>
      <c r="X18" s="24" t="s">
        <v>70</v>
      </c>
      <c r="Y18" s="24" t="s">
        <v>70</v>
      </c>
      <c r="Z18" s="24" t="s">
        <v>70</v>
      </c>
      <c r="AA18" s="24"/>
      <c r="AB18" s="24" t="s">
        <v>70</v>
      </c>
      <c r="AC18" s="24" t="s">
        <v>70</v>
      </c>
      <c r="AD18" s="24" t="s">
        <v>70</v>
      </c>
      <c r="AE18" s="24" t="s">
        <v>70</v>
      </c>
      <c r="AF18" s="24" t="s">
        <v>70</v>
      </c>
      <c r="AG18" s="24" t="s">
        <v>70</v>
      </c>
      <c r="AH18" s="25"/>
      <c r="AI18" s="24">
        <f t="shared" si="4"/>
        <v>26</v>
      </c>
      <c r="AJ18" s="24">
        <f t="shared" si="2"/>
        <v>25</v>
      </c>
      <c r="AK18" s="26">
        <f t="shared" si="3"/>
        <v>1</v>
      </c>
    </row>
    <row r="19" spans="2:37" ht="21" x14ac:dyDescent="0.4">
      <c r="B19" s="7">
        <v>3438</v>
      </c>
      <c r="C19" s="1" t="s">
        <v>15</v>
      </c>
      <c r="D19" s="24" t="s">
        <v>70</v>
      </c>
      <c r="E19" s="24" t="s">
        <v>70</v>
      </c>
      <c r="F19" s="24"/>
      <c r="G19" s="24" t="s">
        <v>70</v>
      </c>
      <c r="H19" s="24" t="s">
        <v>70</v>
      </c>
      <c r="I19" s="24" t="s">
        <v>70</v>
      </c>
      <c r="J19" s="24" t="s">
        <v>70</v>
      </c>
      <c r="K19" s="24" t="s">
        <v>70</v>
      </c>
      <c r="L19" s="24" t="s">
        <v>70</v>
      </c>
      <c r="M19" s="24"/>
      <c r="N19" s="24" t="s">
        <v>70</v>
      </c>
      <c r="O19" s="24" t="s">
        <v>70</v>
      </c>
      <c r="P19" s="24" t="s">
        <v>70</v>
      </c>
      <c r="Q19" s="24" t="s">
        <v>70</v>
      </c>
      <c r="R19" s="24" t="s">
        <v>70</v>
      </c>
      <c r="S19" s="24" t="s">
        <v>70</v>
      </c>
      <c r="T19" s="24"/>
      <c r="U19" s="24" t="s">
        <v>70</v>
      </c>
      <c r="V19" s="24" t="s">
        <v>70</v>
      </c>
      <c r="W19" s="24" t="s">
        <v>70</v>
      </c>
      <c r="X19" s="24" t="s">
        <v>70</v>
      </c>
      <c r="Y19" s="24" t="s">
        <v>70</v>
      </c>
      <c r="Z19" s="24" t="s">
        <v>70</v>
      </c>
      <c r="AA19" s="24"/>
      <c r="AB19" s="24" t="s">
        <v>70</v>
      </c>
      <c r="AC19" s="24" t="s">
        <v>70</v>
      </c>
      <c r="AD19" s="24" t="s">
        <v>70</v>
      </c>
      <c r="AE19" s="24" t="s">
        <v>70</v>
      </c>
      <c r="AF19" s="24" t="s">
        <v>70</v>
      </c>
      <c r="AG19" s="24" t="s">
        <v>70</v>
      </c>
      <c r="AH19" s="25"/>
      <c r="AI19" s="24">
        <f t="shared" si="4"/>
        <v>26</v>
      </c>
      <c r="AJ19" s="24">
        <f t="shared" si="2"/>
        <v>26</v>
      </c>
      <c r="AK19" s="26">
        <f t="shared" si="3"/>
        <v>0</v>
      </c>
    </row>
    <row r="20" spans="2:37" ht="21" x14ac:dyDescent="0.4">
      <c r="B20" s="7">
        <v>3439</v>
      </c>
      <c r="C20" s="1" t="s">
        <v>16</v>
      </c>
      <c r="D20" s="24" t="s">
        <v>70</v>
      </c>
      <c r="E20" s="24" t="s">
        <v>70</v>
      </c>
      <c r="F20" s="24"/>
      <c r="G20" s="24" t="s">
        <v>70</v>
      </c>
      <c r="H20" s="24" t="s">
        <v>70</v>
      </c>
      <c r="I20" s="24" t="s">
        <v>70</v>
      </c>
      <c r="J20" s="24" t="s">
        <v>70</v>
      </c>
      <c r="K20" s="24" t="s">
        <v>70</v>
      </c>
      <c r="L20" s="24" t="s">
        <v>70</v>
      </c>
      <c r="M20" s="24"/>
      <c r="N20" s="24" t="s">
        <v>70</v>
      </c>
      <c r="O20" s="24" t="s">
        <v>70</v>
      </c>
      <c r="P20" s="24" t="s">
        <v>70</v>
      </c>
      <c r="Q20" s="24" t="s">
        <v>70</v>
      </c>
      <c r="R20" s="24" t="s">
        <v>70</v>
      </c>
      <c r="S20" s="24" t="s">
        <v>70</v>
      </c>
      <c r="T20" s="24"/>
      <c r="U20" s="24" t="s">
        <v>70</v>
      </c>
      <c r="V20" s="24" t="s">
        <v>70</v>
      </c>
      <c r="W20" s="24" t="s">
        <v>70</v>
      </c>
      <c r="X20" s="24" t="s">
        <v>70</v>
      </c>
      <c r="Y20" s="24" t="s">
        <v>70</v>
      </c>
      <c r="Z20" s="24" t="s">
        <v>70</v>
      </c>
      <c r="AA20" s="24"/>
      <c r="AB20" s="24" t="s">
        <v>70</v>
      </c>
      <c r="AC20" s="24" t="s">
        <v>70</v>
      </c>
      <c r="AD20" s="24" t="s">
        <v>70</v>
      </c>
      <c r="AE20" s="24" t="s">
        <v>70</v>
      </c>
      <c r="AF20" s="24" t="s">
        <v>70</v>
      </c>
      <c r="AG20" s="24" t="s">
        <v>70</v>
      </c>
      <c r="AH20" s="25"/>
      <c r="AI20" s="24">
        <f t="shared" si="4"/>
        <v>26</v>
      </c>
      <c r="AJ20" s="24">
        <f t="shared" si="2"/>
        <v>26</v>
      </c>
      <c r="AK20" s="26">
        <f t="shared" si="3"/>
        <v>0</v>
      </c>
    </row>
    <row r="21" spans="2:37" ht="21" x14ac:dyDescent="0.4">
      <c r="B21" s="7">
        <v>3440</v>
      </c>
      <c r="C21" s="1" t="s">
        <v>17</v>
      </c>
      <c r="D21" s="24" t="s">
        <v>70</v>
      </c>
      <c r="E21" s="24" t="s">
        <v>70</v>
      </c>
      <c r="F21" s="24"/>
      <c r="G21" s="24" t="s">
        <v>70</v>
      </c>
      <c r="H21" s="24" t="s">
        <v>70</v>
      </c>
      <c r="I21" s="24" t="s">
        <v>70</v>
      </c>
      <c r="J21" s="24" t="s">
        <v>70</v>
      </c>
      <c r="K21" s="24" t="s">
        <v>70</v>
      </c>
      <c r="L21" s="24" t="s">
        <v>70</v>
      </c>
      <c r="M21" s="24"/>
      <c r="N21" s="24" t="s">
        <v>70</v>
      </c>
      <c r="O21" s="24" t="s">
        <v>70</v>
      </c>
      <c r="P21" s="24" t="s">
        <v>70</v>
      </c>
      <c r="Q21" s="24" t="s">
        <v>70</v>
      </c>
      <c r="R21" s="24" t="s">
        <v>70</v>
      </c>
      <c r="S21" s="24" t="s">
        <v>70</v>
      </c>
      <c r="T21" s="24"/>
      <c r="U21" s="24" t="s">
        <v>70</v>
      </c>
      <c r="V21" s="24" t="s">
        <v>70</v>
      </c>
      <c r="W21" s="24" t="s">
        <v>70</v>
      </c>
      <c r="X21" s="24" t="s">
        <v>70</v>
      </c>
      <c r="Y21" s="24" t="s">
        <v>70</v>
      </c>
      <c r="Z21" s="24" t="s">
        <v>70</v>
      </c>
      <c r="AA21" s="24"/>
      <c r="AB21" s="24" t="s">
        <v>70</v>
      </c>
      <c r="AC21" s="24" t="s">
        <v>70</v>
      </c>
      <c r="AD21" s="24" t="s">
        <v>70</v>
      </c>
      <c r="AE21" s="24" t="s">
        <v>70</v>
      </c>
      <c r="AF21" s="24" t="s">
        <v>70</v>
      </c>
      <c r="AG21" s="24" t="s">
        <v>70</v>
      </c>
      <c r="AH21" s="25"/>
      <c r="AI21" s="24">
        <f t="shared" si="4"/>
        <v>26</v>
      </c>
      <c r="AJ21" s="24">
        <f t="shared" si="2"/>
        <v>26</v>
      </c>
      <c r="AK21" s="26">
        <f t="shared" si="3"/>
        <v>0</v>
      </c>
    </row>
    <row r="22" spans="2:37" ht="21" x14ac:dyDescent="0.4">
      <c r="B22" s="7">
        <v>3441</v>
      </c>
      <c r="C22" s="1" t="s">
        <v>18</v>
      </c>
      <c r="D22" s="24" t="s">
        <v>70</v>
      </c>
      <c r="E22" s="24" t="s">
        <v>70</v>
      </c>
      <c r="F22" s="24"/>
      <c r="G22" s="24" t="s">
        <v>70</v>
      </c>
      <c r="H22" s="24" t="s">
        <v>70</v>
      </c>
      <c r="I22" s="24" t="s">
        <v>70</v>
      </c>
      <c r="J22" s="24" t="s">
        <v>70</v>
      </c>
      <c r="K22" s="24" t="s">
        <v>70</v>
      </c>
      <c r="L22" s="24" t="s">
        <v>70</v>
      </c>
      <c r="M22" s="24"/>
      <c r="N22" s="24" t="s">
        <v>70</v>
      </c>
      <c r="O22" s="24" t="s">
        <v>70</v>
      </c>
      <c r="P22" s="24" t="s">
        <v>70</v>
      </c>
      <c r="Q22" s="24" t="s">
        <v>70</v>
      </c>
      <c r="R22" s="24" t="s">
        <v>70</v>
      </c>
      <c r="S22" s="24" t="s">
        <v>70</v>
      </c>
      <c r="T22" s="24"/>
      <c r="U22" s="24" t="s">
        <v>70</v>
      </c>
      <c r="V22" s="24" t="s">
        <v>70</v>
      </c>
      <c r="W22" s="24" t="s">
        <v>70</v>
      </c>
      <c r="X22" s="24" t="s">
        <v>70</v>
      </c>
      <c r="Y22" s="24" t="s">
        <v>70</v>
      </c>
      <c r="Z22" s="24" t="s">
        <v>70</v>
      </c>
      <c r="AA22" s="24"/>
      <c r="AB22" s="24" t="s">
        <v>70</v>
      </c>
      <c r="AC22" s="24" t="s">
        <v>70</v>
      </c>
      <c r="AD22" s="24" t="s">
        <v>70</v>
      </c>
      <c r="AE22" s="24" t="s">
        <v>70</v>
      </c>
      <c r="AF22" s="24" t="s">
        <v>70</v>
      </c>
      <c r="AG22" s="24" t="s">
        <v>70</v>
      </c>
      <c r="AH22" s="25"/>
      <c r="AI22" s="24">
        <f t="shared" si="4"/>
        <v>26</v>
      </c>
      <c r="AJ22" s="24">
        <f t="shared" si="2"/>
        <v>26</v>
      </c>
      <c r="AK22" s="26">
        <f t="shared" si="3"/>
        <v>0</v>
      </c>
    </row>
    <row r="23" spans="2:37" ht="21" x14ac:dyDescent="0.4">
      <c r="B23" s="7">
        <v>3442</v>
      </c>
      <c r="C23" s="1" t="s">
        <v>19</v>
      </c>
      <c r="D23" s="24" t="s">
        <v>70</v>
      </c>
      <c r="E23" s="24" t="s">
        <v>70</v>
      </c>
      <c r="F23" s="24"/>
      <c r="G23" s="24" t="s">
        <v>70</v>
      </c>
      <c r="H23" s="24" t="s">
        <v>70</v>
      </c>
      <c r="I23" s="24" t="s">
        <v>70</v>
      </c>
      <c r="J23" s="24" t="s">
        <v>70</v>
      </c>
      <c r="K23" s="24" t="s">
        <v>70</v>
      </c>
      <c r="L23" s="24" t="s">
        <v>70</v>
      </c>
      <c r="M23" s="24"/>
      <c r="N23" s="24" t="s">
        <v>70</v>
      </c>
      <c r="O23" s="24" t="s">
        <v>70</v>
      </c>
      <c r="P23" s="24" t="s">
        <v>70</v>
      </c>
      <c r="Q23" s="24" t="s">
        <v>70</v>
      </c>
      <c r="R23" s="24" t="s">
        <v>70</v>
      </c>
      <c r="S23" s="24" t="s">
        <v>70</v>
      </c>
      <c r="T23" s="24"/>
      <c r="U23" s="24" t="s">
        <v>70</v>
      </c>
      <c r="V23" s="24" t="s">
        <v>70</v>
      </c>
      <c r="W23" s="24" t="s">
        <v>70</v>
      </c>
      <c r="X23" s="24" t="s">
        <v>70</v>
      </c>
      <c r="Y23" s="24" t="s">
        <v>70</v>
      </c>
      <c r="Z23" s="24" t="s">
        <v>70</v>
      </c>
      <c r="AA23" s="24"/>
      <c r="AB23" s="24" t="s">
        <v>70</v>
      </c>
      <c r="AC23" s="24" t="s">
        <v>70</v>
      </c>
      <c r="AD23" s="24" t="s">
        <v>70</v>
      </c>
      <c r="AE23" s="24" t="s">
        <v>70</v>
      </c>
      <c r="AF23" s="24" t="s">
        <v>70</v>
      </c>
      <c r="AG23" s="24" t="s">
        <v>70</v>
      </c>
      <c r="AH23" s="25"/>
      <c r="AI23" s="24">
        <f t="shared" si="4"/>
        <v>26</v>
      </c>
      <c r="AJ23" s="24">
        <f t="shared" si="2"/>
        <v>26</v>
      </c>
      <c r="AK23" s="26">
        <f t="shared" si="3"/>
        <v>0</v>
      </c>
    </row>
    <row r="24" spans="2:37" ht="21" x14ac:dyDescent="0.4">
      <c r="B24" s="7">
        <v>3443</v>
      </c>
      <c r="C24" s="1" t="s">
        <v>20</v>
      </c>
      <c r="D24" s="24" t="s">
        <v>70</v>
      </c>
      <c r="E24" s="24" t="s">
        <v>70</v>
      </c>
      <c r="F24" s="24"/>
      <c r="G24" s="24" t="s">
        <v>70</v>
      </c>
      <c r="H24" s="24" t="s">
        <v>71</v>
      </c>
      <c r="I24" s="24" t="s">
        <v>70</v>
      </c>
      <c r="J24" s="24" t="s">
        <v>70</v>
      </c>
      <c r="K24" s="24" t="s">
        <v>70</v>
      </c>
      <c r="L24" s="24" t="s">
        <v>70</v>
      </c>
      <c r="M24" s="24"/>
      <c r="N24" s="24" t="s">
        <v>70</v>
      </c>
      <c r="O24" s="24" t="s">
        <v>70</v>
      </c>
      <c r="P24" s="24" t="s">
        <v>70</v>
      </c>
      <c r="Q24" s="24" t="s">
        <v>70</v>
      </c>
      <c r="R24" s="24" t="s">
        <v>70</v>
      </c>
      <c r="S24" s="24" t="s">
        <v>70</v>
      </c>
      <c r="T24" s="24"/>
      <c r="U24" s="24" t="s">
        <v>70</v>
      </c>
      <c r="V24" s="24" t="s">
        <v>70</v>
      </c>
      <c r="W24" s="24" t="s">
        <v>70</v>
      </c>
      <c r="X24" s="24" t="s">
        <v>70</v>
      </c>
      <c r="Y24" s="24" t="s">
        <v>70</v>
      </c>
      <c r="Z24" s="24" t="s">
        <v>70</v>
      </c>
      <c r="AA24" s="24"/>
      <c r="AB24" s="24" t="s">
        <v>70</v>
      </c>
      <c r="AC24" s="24" t="s">
        <v>70</v>
      </c>
      <c r="AD24" s="24" t="s">
        <v>70</v>
      </c>
      <c r="AE24" s="24" t="s">
        <v>70</v>
      </c>
      <c r="AF24" s="24" t="s">
        <v>70</v>
      </c>
      <c r="AG24" s="24" t="s">
        <v>70</v>
      </c>
      <c r="AH24" s="25"/>
      <c r="AI24" s="24">
        <f t="shared" si="4"/>
        <v>26</v>
      </c>
      <c r="AJ24" s="24">
        <f t="shared" si="2"/>
        <v>25</v>
      </c>
      <c r="AK24" s="26">
        <f t="shared" si="3"/>
        <v>1</v>
      </c>
    </row>
    <row r="25" spans="2:37" ht="21" x14ac:dyDescent="0.4">
      <c r="B25" s="7">
        <v>3444</v>
      </c>
      <c r="C25" s="1" t="s">
        <v>21</v>
      </c>
      <c r="D25" s="24" t="s">
        <v>70</v>
      </c>
      <c r="E25" s="24" t="s">
        <v>70</v>
      </c>
      <c r="F25" s="24"/>
      <c r="G25" s="24" t="s">
        <v>70</v>
      </c>
      <c r="H25" s="24" t="s">
        <v>70</v>
      </c>
      <c r="I25" s="24" t="s">
        <v>70</v>
      </c>
      <c r="J25" s="24" t="s">
        <v>70</v>
      </c>
      <c r="K25" s="24" t="s">
        <v>70</v>
      </c>
      <c r="L25" s="24" t="s">
        <v>70</v>
      </c>
      <c r="M25" s="24"/>
      <c r="N25" s="24" t="s">
        <v>70</v>
      </c>
      <c r="O25" s="24" t="s">
        <v>70</v>
      </c>
      <c r="P25" s="24" t="s">
        <v>70</v>
      </c>
      <c r="Q25" s="24" t="s">
        <v>70</v>
      </c>
      <c r="R25" s="24" t="s">
        <v>70</v>
      </c>
      <c r="S25" s="24" t="s">
        <v>70</v>
      </c>
      <c r="T25" s="24"/>
      <c r="U25" s="24" t="s">
        <v>70</v>
      </c>
      <c r="V25" s="24" t="s">
        <v>70</v>
      </c>
      <c r="W25" s="24" t="s">
        <v>70</v>
      </c>
      <c r="X25" s="24" t="s">
        <v>70</v>
      </c>
      <c r="Y25" s="24" t="s">
        <v>70</v>
      </c>
      <c r="Z25" s="24" t="s">
        <v>70</v>
      </c>
      <c r="AA25" s="24"/>
      <c r="AB25" s="24" t="s">
        <v>70</v>
      </c>
      <c r="AC25" s="24" t="s">
        <v>70</v>
      </c>
      <c r="AD25" s="24" t="s">
        <v>70</v>
      </c>
      <c r="AE25" s="24" t="s">
        <v>70</v>
      </c>
      <c r="AF25" s="24" t="s">
        <v>70</v>
      </c>
      <c r="AG25" s="24" t="s">
        <v>70</v>
      </c>
      <c r="AH25" s="25"/>
      <c r="AI25" s="24">
        <f t="shared" si="4"/>
        <v>26</v>
      </c>
      <c r="AJ25" s="24">
        <f t="shared" si="2"/>
        <v>26</v>
      </c>
      <c r="AK25" s="26">
        <f t="shared" si="3"/>
        <v>0</v>
      </c>
    </row>
    <row r="26" spans="2:37" ht="21" x14ac:dyDescent="0.4">
      <c r="B26" s="7">
        <v>3445</v>
      </c>
      <c r="C26" s="1" t="s">
        <v>22</v>
      </c>
      <c r="D26" s="24" t="s">
        <v>70</v>
      </c>
      <c r="E26" s="24" t="s">
        <v>70</v>
      </c>
      <c r="F26" s="24"/>
      <c r="G26" s="24" t="s">
        <v>70</v>
      </c>
      <c r="H26" s="24" t="s">
        <v>70</v>
      </c>
      <c r="I26" s="24" t="s">
        <v>70</v>
      </c>
      <c r="J26" s="24" t="s">
        <v>70</v>
      </c>
      <c r="K26" s="24" t="s">
        <v>70</v>
      </c>
      <c r="L26" s="24" t="s">
        <v>70</v>
      </c>
      <c r="M26" s="24"/>
      <c r="N26" s="24" t="s">
        <v>70</v>
      </c>
      <c r="O26" s="24" t="s">
        <v>70</v>
      </c>
      <c r="P26" s="24" t="s">
        <v>70</v>
      </c>
      <c r="Q26" s="24" t="s">
        <v>70</v>
      </c>
      <c r="R26" s="24" t="s">
        <v>70</v>
      </c>
      <c r="S26" s="24" t="s">
        <v>70</v>
      </c>
      <c r="T26" s="24"/>
      <c r="U26" s="24" t="s">
        <v>70</v>
      </c>
      <c r="V26" s="24" t="s">
        <v>70</v>
      </c>
      <c r="W26" s="24" t="s">
        <v>70</v>
      </c>
      <c r="X26" s="24" t="s">
        <v>70</v>
      </c>
      <c r="Y26" s="24" t="s">
        <v>70</v>
      </c>
      <c r="Z26" s="24" t="s">
        <v>70</v>
      </c>
      <c r="AA26" s="24"/>
      <c r="AB26" s="24" t="s">
        <v>70</v>
      </c>
      <c r="AC26" s="24" t="s">
        <v>70</v>
      </c>
      <c r="AD26" s="24" t="s">
        <v>70</v>
      </c>
      <c r="AE26" s="24" t="s">
        <v>70</v>
      </c>
      <c r="AF26" s="24" t="s">
        <v>70</v>
      </c>
      <c r="AG26" s="24" t="s">
        <v>70</v>
      </c>
      <c r="AH26" s="25"/>
      <c r="AI26" s="24">
        <f t="shared" si="4"/>
        <v>26</v>
      </c>
      <c r="AJ26" s="24">
        <f t="shared" si="2"/>
        <v>26</v>
      </c>
      <c r="AK26" s="26">
        <f t="shared" si="3"/>
        <v>0</v>
      </c>
    </row>
    <row r="27" spans="2:37" ht="21" x14ac:dyDescent="0.4">
      <c r="B27" s="7">
        <v>3446</v>
      </c>
      <c r="C27" s="1" t="s">
        <v>23</v>
      </c>
      <c r="D27" s="24" t="s">
        <v>70</v>
      </c>
      <c r="E27" s="24" t="s">
        <v>70</v>
      </c>
      <c r="F27" s="24"/>
      <c r="G27" s="24" t="s">
        <v>70</v>
      </c>
      <c r="H27" s="24" t="s">
        <v>70</v>
      </c>
      <c r="I27" s="24" t="s">
        <v>70</v>
      </c>
      <c r="J27" s="24" t="s">
        <v>70</v>
      </c>
      <c r="K27" s="24" t="s">
        <v>70</v>
      </c>
      <c r="L27" s="24" t="s">
        <v>70</v>
      </c>
      <c r="M27" s="24"/>
      <c r="N27" s="24" t="s">
        <v>70</v>
      </c>
      <c r="O27" s="24" t="s">
        <v>70</v>
      </c>
      <c r="P27" s="24" t="s">
        <v>70</v>
      </c>
      <c r="Q27" s="24" t="s">
        <v>70</v>
      </c>
      <c r="R27" s="24" t="s">
        <v>70</v>
      </c>
      <c r="S27" s="24" t="s">
        <v>70</v>
      </c>
      <c r="T27" s="24"/>
      <c r="U27" s="24" t="s">
        <v>70</v>
      </c>
      <c r="V27" s="24" t="s">
        <v>70</v>
      </c>
      <c r="W27" s="24" t="s">
        <v>70</v>
      </c>
      <c r="X27" s="24" t="s">
        <v>70</v>
      </c>
      <c r="Y27" s="24" t="s">
        <v>70</v>
      </c>
      <c r="Z27" s="24" t="s">
        <v>70</v>
      </c>
      <c r="AA27" s="24"/>
      <c r="AB27" s="24" t="s">
        <v>70</v>
      </c>
      <c r="AC27" s="24" t="s">
        <v>70</v>
      </c>
      <c r="AD27" s="24" t="s">
        <v>70</v>
      </c>
      <c r="AE27" s="24" t="s">
        <v>70</v>
      </c>
      <c r="AF27" s="24" t="s">
        <v>70</v>
      </c>
      <c r="AG27" s="24" t="s">
        <v>70</v>
      </c>
      <c r="AH27" s="25"/>
      <c r="AI27" s="24">
        <f t="shared" si="4"/>
        <v>26</v>
      </c>
      <c r="AJ27" s="24">
        <f t="shared" si="2"/>
        <v>26</v>
      </c>
      <c r="AK27" s="26">
        <f t="shared" si="3"/>
        <v>0</v>
      </c>
    </row>
  </sheetData>
  <mergeCells count="7">
    <mergeCell ref="B2:C2"/>
    <mergeCell ref="D2:AL5"/>
    <mergeCell ref="B6:B7"/>
    <mergeCell ref="C6:C7"/>
    <mergeCell ref="AI6:AI7"/>
    <mergeCell ref="AJ6:AJ7"/>
    <mergeCell ref="AK6:AK7"/>
  </mergeCells>
  <conditionalFormatting sqref="D8:AG27">
    <cfRule type="containsText" dxfId="14" priority="1" operator="containsText" text="A">
      <formula>NOT(ISERROR(SEARCH("A",D8)))</formula>
    </cfRule>
    <cfRule type="expression" dxfId="13" priority="5">
      <formula>D$6="Sun"</formula>
    </cfRule>
    <cfRule type="expression" dxfId="12" priority="6">
      <formula>D$6="Sun"</formula>
    </cfRule>
  </conditionalFormatting>
  <conditionalFormatting sqref="D6:AK7">
    <cfRule type="notContainsBlanks" dxfId="11" priority="2">
      <formula>LEN(TRIM(D6))&gt;0</formula>
    </cfRule>
    <cfRule type="notContainsBlanks" dxfId="10" priority="3">
      <formula>LEN(TRIM(D6))&gt;0</formula>
    </cfRule>
  </conditionalFormatting>
  <conditionalFormatting sqref="D6:AK27">
    <cfRule type="expression" dxfId="9" priority="4">
      <formula>D$6&lt;&gt;""</formula>
    </cfRule>
  </conditionalFormatting>
  <dataValidations count="4">
    <dataValidation type="custom" allowBlank="1" showInputMessage="1" showErrorMessage="1" errorTitle="Info" error="Week Off" sqref="AH6:AK27" xr:uid="{00000000-0002-0000-0F00-000000000000}">
      <formula1>AH$6&lt;&gt;""</formula1>
    </dataValidation>
    <dataValidation type="list" allowBlank="1" showInputMessage="1" showErrorMessage="1" sqref="C4" xr:uid="{00000000-0002-0000-0F00-000001000000}">
      <formula1>"2024"</formula1>
    </dataValidation>
    <dataValidation type="list" allowBlank="1" showInputMessage="1" showErrorMessage="1" sqref="C3" xr:uid="{00000000-0002-0000-0F00-000002000000}">
      <formula1>"JANUARY,FEBRUARY,MARCH,APRIL,MAY,JUNE,JULY,AUGUST,SEPTEMBER,NOVEMBER,DECEMBER"</formula1>
    </dataValidation>
    <dataValidation type="custom" allowBlank="1" showInputMessage="1" showErrorMessage="1" errorTitle="Info" error="Week Off" sqref="D6:AG27" xr:uid="{00000000-0002-0000-0F00-000003000000}">
      <formula1>D$6&lt;&gt;"Sun"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L27"/>
  <sheetViews>
    <sheetView showGridLines="0" zoomScale="40" zoomScaleNormal="40" workbookViewId="0"/>
  </sheetViews>
  <sheetFormatPr defaultRowHeight="14.4" x14ac:dyDescent="0.3"/>
  <cols>
    <col min="1" max="1" width="37.5546875" customWidth="1"/>
    <col min="2" max="2" width="27.6640625" bestFit="1" customWidth="1"/>
    <col min="3" max="3" width="23.44140625" bestFit="1" customWidth="1"/>
    <col min="4" max="4" width="10.109375" bestFit="1" customWidth="1"/>
    <col min="5" max="10" width="5.88671875" customWidth="1"/>
    <col min="11" max="11" width="10.109375" bestFit="1" customWidth="1"/>
    <col min="12" max="17" width="5.88671875" customWidth="1"/>
    <col min="18" max="18" width="10.109375" bestFit="1" customWidth="1"/>
    <col min="19" max="24" width="5.88671875" customWidth="1"/>
    <col min="25" max="25" width="10.109375" bestFit="1" customWidth="1"/>
    <col min="26" max="31" width="5.88671875" customWidth="1"/>
    <col min="32" max="32" width="10.109375" bestFit="1" customWidth="1"/>
    <col min="33" max="34" width="5.88671875" customWidth="1"/>
    <col min="36" max="36" width="23.109375" customWidth="1"/>
    <col min="37" max="37" width="21.5546875" customWidth="1"/>
    <col min="38" max="38" width="29.109375" customWidth="1"/>
    <col min="39" max="39" width="7" customWidth="1"/>
  </cols>
  <sheetData>
    <row r="1" spans="1:38" ht="87" customHeight="1" thickBot="1" x14ac:dyDescent="0.35"/>
    <row r="2" spans="1:38" ht="55.2" x14ac:dyDescent="1.3">
      <c r="A2" s="197" t="str">
        <f>HYPERLINK("#'Table Of contents'!B1","GO TO TOC SHEET")</f>
        <v>GO TO TOC SHEET</v>
      </c>
      <c r="B2" s="276" t="s">
        <v>93</v>
      </c>
      <c r="C2" s="277"/>
      <c r="D2" s="289" t="s">
        <v>72</v>
      </c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1"/>
    </row>
    <row r="3" spans="1:38" ht="51" customHeight="1" x14ac:dyDescent="0.45">
      <c r="B3" s="34" t="s">
        <v>64</v>
      </c>
      <c r="C3" s="35" t="s">
        <v>80</v>
      </c>
      <c r="D3" s="292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4"/>
    </row>
    <row r="4" spans="1:38" ht="38.25" customHeight="1" x14ac:dyDescent="0.45">
      <c r="B4" s="34" t="s">
        <v>65</v>
      </c>
      <c r="C4" s="35">
        <v>2024</v>
      </c>
      <c r="D4" s="292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4"/>
    </row>
    <row r="5" spans="1:38" ht="38.25" customHeight="1" thickBot="1" x14ac:dyDescent="0.5">
      <c r="B5" s="43">
        <f>DATEVALUE("1"&amp;C3&amp;C4)</f>
        <v>45627</v>
      </c>
      <c r="C5" s="44">
        <f>EOMONTH(B5,0)</f>
        <v>45657</v>
      </c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296"/>
      <c r="X5" s="296"/>
      <c r="Y5" s="296"/>
      <c r="Z5" s="296"/>
      <c r="AA5" s="296"/>
      <c r="AB5" s="296"/>
      <c r="AC5" s="296"/>
      <c r="AD5" s="296"/>
      <c r="AE5" s="296"/>
      <c r="AF5" s="296"/>
      <c r="AG5" s="296"/>
      <c r="AH5" s="296"/>
      <c r="AI5" s="296"/>
      <c r="AJ5" s="296"/>
      <c r="AK5" s="296"/>
      <c r="AL5" s="297"/>
    </row>
    <row r="6" spans="1:38" ht="60.75" customHeight="1" x14ac:dyDescent="0.35">
      <c r="B6" s="302" t="s">
        <v>2</v>
      </c>
      <c r="C6" s="303" t="s">
        <v>3</v>
      </c>
      <c r="D6" s="39" t="str">
        <f>TEXT(D7,"DDD")</f>
        <v>Sun</v>
      </c>
      <c r="E6" s="39" t="str">
        <f t="shared" ref="E6:AH6" si="0">TEXT(E7,"DDD")</f>
        <v>Mon</v>
      </c>
      <c r="F6" s="39" t="str">
        <f t="shared" si="0"/>
        <v>Tue</v>
      </c>
      <c r="G6" s="39" t="str">
        <f t="shared" si="0"/>
        <v>Wed</v>
      </c>
      <c r="H6" s="39" t="str">
        <f t="shared" si="0"/>
        <v>Thu</v>
      </c>
      <c r="I6" s="39" t="str">
        <f t="shared" si="0"/>
        <v>Fri</v>
      </c>
      <c r="J6" s="39" t="str">
        <f t="shared" si="0"/>
        <v>Sat</v>
      </c>
      <c r="K6" s="39" t="str">
        <f t="shared" si="0"/>
        <v>Sun</v>
      </c>
      <c r="L6" s="39" t="str">
        <f t="shared" si="0"/>
        <v>Mon</v>
      </c>
      <c r="M6" s="39" t="str">
        <f t="shared" si="0"/>
        <v>Tue</v>
      </c>
      <c r="N6" s="39" t="str">
        <f t="shared" si="0"/>
        <v>Wed</v>
      </c>
      <c r="O6" s="39" t="str">
        <f t="shared" si="0"/>
        <v>Thu</v>
      </c>
      <c r="P6" s="39" t="str">
        <f t="shared" si="0"/>
        <v>Fri</v>
      </c>
      <c r="Q6" s="39" t="str">
        <f t="shared" si="0"/>
        <v>Sat</v>
      </c>
      <c r="R6" s="39" t="str">
        <f t="shared" si="0"/>
        <v>Sun</v>
      </c>
      <c r="S6" s="39" t="str">
        <f t="shared" si="0"/>
        <v>Mon</v>
      </c>
      <c r="T6" s="39" t="str">
        <f t="shared" si="0"/>
        <v>Tue</v>
      </c>
      <c r="U6" s="39" t="str">
        <f t="shared" si="0"/>
        <v>Wed</v>
      </c>
      <c r="V6" s="39" t="str">
        <f t="shared" si="0"/>
        <v>Thu</v>
      </c>
      <c r="W6" s="39" t="str">
        <f t="shared" si="0"/>
        <v>Fri</v>
      </c>
      <c r="X6" s="39" t="str">
        <f t="shared" si="0"/>
        <v>Sat</v>
      </c>
      <c r="Y6" s="39" t="str">
        <f t="shared" si="0"/>
        <v>Sun</v>
      </c>
      <c r="Z6" s="39" t="str">
        <f t="shared" si="0"/>
        <v>Mon</v>
      </c>
      <c r="AA6" s="39" t="str">
        <f t="shared" si="0"/>
        <v>Tue</v>
      </c>
      <c r="AB6" s="39" t="str">
        <f t="shared" si="0"/>
        <v>Wed</v>
      </c>
      <c r="AC6" s="39" t="str">
        <f t="shared" si="0"/>
        <v>Thu</v>
      </c>
      <c r="AD6" s="39" t="str">
        <f t="shared" si="0"/>
        <v>Fri</v>
      </c>
      <c r="AE6" s="39" t="str">
        <f t="shared" si="0"/>
        <v>Sat</v>
      </c>
      <c r="AF6" s="39" t="str">
        <f t="shared" si="0"/>
        <v>Sun</v>
      </c>
      <c r="AG6" s="39" t="str">
        <f t="shared" si="0"/>
        <v>Mon</v>
      </c>
      <c r="AH6" s="39" t="str">
        <f t="shared" si="0"/>
        <v>Tue</v>
      </c>
      <c r="AI6" s="5"/>
      <c r="AJ6" s="304" t="s">
        <v>69</v>
      </c>
      <c r="AK6" s="304" t="s">
        <v>70</v>
      </c>
      <c r="AL6" s="305" t="s">
        <v>71</v>
      </c>
    </row>
    <row r="7" spans="1:38" ht="37.5" customHeight="1" x14ac:dyDescent="0.4">
      <c r="B7" s="278"/>
      <c r="C7" s="279"/>
      <c r="D7" s="23">
        <f>B5</f>
        <v>45627</v>
      </c>
      <c r="E7" s="23">
        <f>IFERROR(IF(D7+1&gt;$C$5,"",D7+1),"")</f>
        <v>45628</v>
      </c>
      <c r="F7" s="23">
        <f t="shared" ref="F7:AG7" si="1">IFERROR(IF(E7+1&gt;$C$5,"",E7+1),"")</f>
        <v>45629</v>
      </c>
      <c r="G7" s="23">
        <f>IFERROR(IF(F7+1&gt;$C$5,"",F7+1),"")</f>
        <v>45630</v>
      </c>
      <c r="H7" s="23">
        <f t="shared" si="1"/>
        <v>45631</v>
      </c>
      <c r="I7" s="23">
        <f t="shared" si="1"/>
        <v>45632</v>
      </c>
      <c r="J7" s="23">
        <f t="shared" si="1"/>
        <v>45633</v>
      </c>
      <c r="K7" s="23">
        <f t="shared" si="1"/>
        <v>45634</v>
      </c>
      <c r="L7" s="23">
        <f t="shared" si="1"/>
        <v>45635</v>
      </c>
      <c r="M7" s="23">
        <f t="shared" si="1"/>
        <v>45636</v>
      </c>
      <c r="N7" s="23">
        <f t="shared" si="1"/>
        <v>45637</v>
      </c>
      <c r="O7" s="23">
        <f t="shared" si="1"/>
        <v>45638</v>
      </c>
      <c r="P7" s="23">
        <f t="shared" si="1"/>
        <v>45639</v>
      </c>
      <c r="Q7" s="23">
        <f t="shared" si="1"/>
        <v>45640</v>
      </c>
      <c r="R7" s="23">
        <f t="shared" si="1"/>
        <v>45641</v>
      </c>
      <c r="S7" s="23">
        <f>IFERROR(IF(R7+1&gt;$C$5,"",R7+1),"")</f>
        <v>45642</v>
      </c>
      <c r="T7" s="23">
        <f t="shared" si="1"/>
        <v>45643</v>
      </c>
      <c r="U7" s="23">
        <f t="shared" si="1"/>
        <v>45644</v>
      </c>
      <c r="V7" s="23">
        <f t="shared" si="1"/>
        <v>45645</v>
      </c>
      <c r="W7" s="23">
        <f t="shared" si="1"/>
        <v>45646</v>
      </c>
      <c r="X7" s="23">
        <f t="shared" si="1"/>
        <v>45647</v>
      </c>
      <c r="Y7" s="23">
        <f t="shared" si="1"/>
        <v>45648</v>
      </c>
      <c r="Z7" s="23">
        <f>IFERROR(IF(Y7+1&gt;$C$5,"",Y7+1),"")</f>
        <v>45649</v>
      </c>
      <c r="AA7" s="23">
        <f t="shared" si="1"/>
        <v>45650</v>
      </c>
      <c r="AB7" s="23">
        <f t="shared" si="1"/>
        <v>45651</v>
      </c>
      <c r="AC7" s="23">
        <f t="shared" si="1"/>
        <v>45652</v>
      </c>
      <c r="AD7" s="23">
        <f t="shared" si="1"/>
        <v>45653</v>
      </c>
      <c r="AE7" s="23">
        <f t="shared" si="1"/>
        <v>45654</v>
      </c>
      <c r="AF7" s="23">
        <f t="shared" si="1"/>
        <v>45655</v>
      </c>
      <c r="AG7" s="23">
        <f t="shared" si="1"/>
        <v>45656</v>
      </c>
      <c r="AH7" s="23">
        <f>IFERROR(IF(AG7+1&gt;$C$5,"",AG7+1),"")</f>
        <v>45657</v>
      </c>
      <c r="AI7" s="5"/>
      <c r="AJ7" s="304"/>
      <c r="AK7" s="304"/>
      <c r="AL7" s="305"/>
    </row>
    <row r="8" spans="1:38" ht="24.6" x14ac:dyDescent="0.4">
      <c r="B8" s="30">
        <v>3427</v>
      </c>
      <c r="C8" s="31" t="s">
        <v>4</v>
      </c>
      <c r="D8" s="36"/>
      <c r="E8" s="36" t="s">
        <v>70</v>
      </c>
      <c r="F8" s="36" t="s">
        <v>70</v>
      </c>
      <c r="G8" s="36" t="s">
        <v>70</v>
      </c>
      <c r="H8" s="36" t="s">
        <v>70</v>
      </c>
      <c r="I8" s="36" t="s">
        <v>70</v>
      </c>
      <c r="J8" s="36" t="s">
        <v>70</v>
      </c>
      <c r="K8" s="36"/>
      <c r="L8" s="36" t="s">
        <v>70</v>
      </c>
      <c r="M8" s="36" t="s">
        <v>70</v>
      </c>
      <c r="N8" s="36" t="s">
        <v>70</v>
      </c>
      <c r="O8" s="36" t="s">
        <v>70</v>
      </c>
      <c r="P8" s="36" t="s">
        <v>70</v>
      </c>
      <c r="Q8" s="36" t="s">
        <v>70</v>
      </c>
      <c r="R8" s="36"/>
      <c r="S8" s="36" t="s">
        <v>70</v>
      </c>
      <c r="T8" s="36" t="s">
        <v>70</v>
      </c>
      <c r="U8" s="36" t="s">
        <v>70</v>
      </c>
      <c r="V8" s="36" t="s">
        <v>70</v>
      </c>
      <c r="W8" s="36" t="s">
        <v>70</v>
      </c>
      <c r="X8" s="36" t="s">
        <v>70</v>
      </c>
      <c r="Y8" s="36"/>
      <c r="Z8" s="36" t="s">
        <v>70</v>
      </c>
      <c r="AA8" s="36" t="s">
        <v>70</v>
      </c>
      <c r="AB8" s="36" t="s">
        <v>70</v>
      </c>
      <c r="AC8" s="36" t="s">
        <v>70</v>
      </c>
      <c r="AD8" s="36" t="s">
        <v>70</v>
      </c>
      <c r="AE8" s="36" t="s">
        <v>70</v>
      </c>
      <c r="AF8" s="36"/>
      <c r="AG8" s="36" t="s">
        <v>70</v>
      </c>
      <c r="AH8" s="36" t="s">
        <v>70</v>
      </c>
      <c r="AI8" s="9"/>
      <c r="AJ8" s="24">
        <f>SUM(AK8,AL8)</f>
        <v>26</v>
      </c>
      <c r="AK8" s="24">
        <f>COUNTIF(D8:AH8,AK$6)</f>
        <v>26</v>
      </c>
      <c r="AL8" s="26">
        <f>COUNTIF(E8:AI8,AL$6)</f>
        <v>0</v>
      </c>
    </row>
    <row r="9" spans="1:38" ht="24.6" x14ac:dyDescent="0.4">
      <c r="B9" s="30">
        <v>3428</v>
      </c>
      <c r="C9" s="31" t="s">
        <v>5</v>
      </c>
      <c r="D9" s="36"/>
      <c r="E9" s="36" t="s">
        <v>70</v>
      </c>
      <c r="F9" s="36" t="s">
        <v>70</v>
      </c>
      <c r="G9" s="36" t="s">
        <v>70</v>
      </c>
      <c r="H9" s="36" t="s">
        <v>70</v>
      </c>
      <c r="I9" s="36" t="s">
        <v>70</v>
      </c>
      <c r="J9" s="36" t="s">
        <v>70</v>
      </c>
      <c r="K9" s="36"/>
      <c r="L9" s="36" t="s">
        <v>70</v>
      </c>
      <c r="M9" s="36" t="s">
        <v>70</v>
      </c>
      <c r="N9" s="36" t="s">
        <v>70</v>
      </c>
      <c r="O9" s="36" t="s">
        <v>70</v>
      </c>
      <c r="P9" s="36" t="s">
        <v>70</v>
      </c>
      <c r="Q9" s="36" t="s">
        <v>70</v>
      </c>
      <c r="R9" s="36"/>
      <c r="S9" s="36" t="s">
        <v>70</v>
      </c>
      <c r="T9" s="36" t="s">
        <v>70</v>
      </c>
      <c r="U9" s="36" t="s">
        <v>70</v>
      </c>
      <c r="V9" s="36" t="s">
        <v>70</v>
      </c>
      <c r="W9" s="36" t="s">
        <v>70</v>
      </c>
      <c r="X9" s="36" t="s">
        <v>70</v>
      </c>
      <c r="Y9" s="36"/>
      <c r="Z9" s="36" t="s">
        <v>70</v>
      </c>
      <c r="AA9" s="36" t="s">
        <v>70</v>
      </c>
      <c r="AB9" s="36" t="s">
        <v>70</v>
      </c>
      <c r="AC9" s="36" t="s">
        <v>70</v>
      </c>
      <c r="AD9" s="36" t="s">
        <v>70</v>
      </c>
      <c r="AE9" s="36" t="s">
        <v>70</v>
      </c>
      <c r="AF9" s="36"/>
      <c r="AG9" s="36" t="s">
        <v>70</v>
      </c>
      <c r="AH9" s="36" t="s">
        <v>70</v>
      </c>
      <c r="AI9" s="9"/>
      <c r="AJ9" s="24">
        <f t="shared" ref="AJ9:AJ27" si="2">SUM(AK9,AL9)</f>
        <v>26</v>
      </c>
      <c r="AK9" s="24">
        <f t="shared" ref="AK9:AL27" si="3">COUNTIF(D9:AH9,AK$6)</f>
        <v>26</v>
      </c>
      <c r="AL9" s="26">
        <f t="shared" si="3"/>
        <v>0</v>
      </c>
    </row>
    <row r="10" spans="1:38" ht="24.6" x14ac:dyDescent="0.4">
      <c r="B10" s="30">
        <v>3429</v>
      </c>
      <c r="C10" s="31" t="s">
        <v>6</v>
      </c>
      <c r="D10" s="36"/>
      <c r="E10" s="36" t="s">
        <v>70</v>
      </c>
      <c r="F10" s="36" t="s">
        <v>70</v>
      </c>
      <c r="G10" s="36" t="s">
        <v>70</v>
      </c>
      <c r="H10" s="36" t="s">
        <v>70</v>
      </c>
      <c r="I10" s="36" t="s">
        <v>70</v>
      </c>
      <c r="J10" s="36" t="s">
        <v>70</v>
      </c>
      <c r="K10" s="36"/>
      <c r="L10" s="36" t="s">
        <v>70</v>
      </c>
      <c r="M10" s="36" t="s">
        <v>70</v>
      </c>
      <c r="N10" s="36" t="s">
        <v>70</v>
      </c>
      <c r="O10" s="36" t="s">
        <v>70</v>
      </c>
      <c r="P10" s="36" t="s">
        <v>70</v>
      </c>
      <c r="Q10" s="36" t="s">
        <v>70</v>
      </c>
      <c r="R10" s="36"/>
      <c r="S10" s="36" t="s">
        <v>70</v>
      </c>
      <c r="T10" s="36" t="s">
        <v>70</v>
      </c>
      <c r="U10" s="36" t="s">
        <v>71</v>
      </c>
      <c r="V10" s="36" t="s">
        <v>70</v>
      </c>
      <c r="W10" s="36" t="s">
        <v>70</v>
      </c>
      <c r="X10" s="36" t="s">
        <v>70</v>
      </c>
      <c r="Y10" s="36"/>
      <c r="Z10" s="36" t="s">
        <v>70</v>
      </c>
      <c r="AA10" s="36" t="s">
        <v>70</v>
      </c>
      <c r="AB10" s="36" t="s">
        <v>70</v>
      </c>
      <c r="AC10" s="36" t="s">
        <v>70</v>
      </c>
      <c r="AD10" s="36" t="s">
        <v>70</v>
      </c>
      <c r="AE10" s="36" t="s">
        <v>70</v>
      </c>
      <c r="AF10" s="36"/>
      <c r="AG10" s="36" t="s">
        <v>70</v>
      </c>
      <c r="AH10" s="36" t="s">
        <v>70</v>
      </c>
      <c r="AI10" s="9"/>
      <c r="AJ10" s="24">
        <f t="shared" si="2"/>
        <v>26</v>
      </c>
      <c r="AK10" s="24">
        <f t="shared" si="3"/>
        <v>25</v>
      </c>
      <c r="AL10" s="26">
        <f t="shared" si="3"/>
        <v>1</v>
      </c>
    </row>
    <row r="11" spans="1:38" ht="24.6" x14ac:dyDescent="0.4">
      <c r="B11" s="30">
        <v>3430</v>
      </c>
      <c r="C11" s="31" t="s">
        <v>7</v>
      </c>
      <c r="D11" s="36"/>
      <c r="E11" s="36" t="s">
        <v>70</v>
      </c>
      <c r="F11" s="36" t="s">
        <v>70</v>
      </c>
      <c r="G11" s="36" t="s">
        <v>70</v>
      </c>
      <c r="H11" s="36" t="s">
        <v>70</v>
      </c>
      <c r="I11" s="36" t="s">
        <v>70</v>
      </c>
      <c r="J11" s="36" t="s">
        <v>70</v>
      </c>
      <c r="K11" s="36"/>
      <c r="L11" s="36" t="s">
        <v>70</v>
      </c>
      <c r="M11" s="36" t="s">
        <v>71</v>
      </c>
      <c r="N11" s="36" t="s">
        <v>70</v>
      </c>
      <c r="O11" s="36" t="s">
        <v>70</v>
      </c>
      <c r="P11" s="36" t="s">
        <v>70</v>
      </c>
      <c r="Q11" s="36" t="s">
        <v>70</v>
      </c>
      <c r="R11" s="36"/>
      <c r="S11" s="36" t="s">
        <v>70</v>
      </c>
      <c r="T11" s="36" t="s">
        <v>70</v>
      </c>
      <c r="U11" s="36" t="s">
        <v>70</v>
      </c>
      <c r="V11" s="36" t="s">
        <v>70</v>
      </c>
      <c r="W11" s="36" t="s">
        <v>70</v>
      </c>
      <c r="X11" s="36" t="s">
        <v>71</v>
      </c>
      <c r="Y11" s="36"/>
      <c r="Z11" s="36" t="s">
        <v>70</v>
      </c>
      <c r="AA11" s="36" t="s">
        <v>70</v>
      </c>
      <c r="AB11" s="36" t="s">
        <v>70</v>
      </c>
      <c r="AC11" s="36" t="s">
        <v>70</v>
      </c>
      <c r="AD11" s="36" t="s">
        <v>70</v>
      </c>
      <c r="AE11" s="36" t="s">
        <v>70</v>
      </c>
      <c r="AF11" s="36"/>
      <c r="AG11" s="36" t="s">
        <v>71</v>
      </c>
      <c r="AH11" s="36" t="s">
        <v>70</v>
      </c>
      <c r="AI11" s="9"/>
      <c r="AJ11" s="24">
        <f t="shared" si="2"/>
        <v>26</v>
      </c>
      <c r="AK11" s="24">
        <f t="shared" si="3"/>
        <v>23</v>
      </c>
      <c r="AL11" s="26">
        <f t="shared" si="3"/>
        <v>3</v>
      </c>
    </row>
    <row r="12" spans="1:38" ht="24.6" x14ac:dyDescent="0.4">
      <c r="B12" s="30">
        <v>3431</v>
      </c>
      <c r="C12" s="31" t="s">
        <v>8</v>
      </c>
      <c r="D12" s="36"/>
      <c r="E12" s="36" t="s">
        <v>70</v>
      </c>
      <c r="F12" s="36" t="s">
        <v>70</v>
      </c>
      <c r="G12" s="36" t="s">
        <v>70</v>
      </c>
      <c r="H12" s="36" t="s">
        <v>70</v>
      </c>
      <c r="I12" s="36" t="s">
        <v>70</v>
      </c>
      <c r="J12" s="36" t="s">
        <v>70</v>
      </c>
      <c r="K12" s="36"/>
      <c r="L12" s="36" t="s">
        <v>70</v>
      </c>
      <c r="M12" s="36" t="s">
        <v>70</v>
      </c>
      <c r="N12" s="36" t="s">
        <v>70</v>
      </c>
      <c r="O12" s="36" t="s">
        <v>70</v>
      </c>
      <c r="P12" s="36" t="s">
        <v>71</v>
      </c>
      <c r="Q12" s="36" t="s">
        <v>70</v>
      </c>
      <c r="R12" s="36"/>
      <c r="S12" s="36" t="s">
        <v>70</v>
      </c>
      <c r="T12" s="36" t="s">
        <v>70</v>
      </c>
      <c r="U12" s="36" t="s">
        <v>70</v>
      </c>
      <c r="V12" s="36" t="s">
        <v>70</v>
      </c>
      <c r="W12" s="36" t="s">
        <v>70</v>
      </c>
      <c r="X12" s="36" t="s">
        <v>70</v>
      </c>
      <c r="Y12" s="36"/>
      <c r="Z12" s="36" t="s">
        <v>70</v>
      </c>
      <c r="AA12" s="36" t="s">
        <v>70</v>
      </c>
      <c r="AB12" s="36" t="s">
        <v>70</v>
      </c>
      <c r="AC12" s="36" t="s">
        <v>70</v>
      </c>
      <c r="AD12" s="36" t="s">
        <v>70</v>
      </c>
      <c r="AE12" s="36" t="s">
        <v>70</v>
      </c>
      <c r="AF12" s="36"/>
      <c r="AG12" s="36" t="s">
        <v>70</v>
      </c>
      <c r="AH12" s="36" t="s">
        <v>70</v>
      </c>
      <c r="AI12" s="9"/>
      <c r="AJ12" s="24">
        <f t="shared" si="2"/>
        <v>26</v>
      </c>
      <c r="AK12" s="24">
        <f t="shared" si="3"/>
        <v>25</v>
      </c>
      <c r="AL12" s="26">
        <f t="shared" si="3"/>
        <v>1</v>
      </c>
    </row>
    <row r="13" spans="1:38" ht="24.6" x14ac:dyDescent="0.4">
      <c r="B13" s="30">
        <v>3432</v>
      </c>
      <c r="C13" s="31" t="s">
        <v>9</v>
      </c>
      <c r="D13" s="36"/>
      <c r="E13" s="36" t="s">
        <v>70</v>
      </c>
      <c r="F13" s="36" t="s">
        <v>71</v>
      </c>
      <c r="G13" s="36" t="s">
        <v>70</v>
      </c>
      <c r="H13" s="36" t="s">
        <v>70</v>
      </c>
      <c r="I13" s="36" t="s">
        <v>70</v>
      </c>
      <c r="J13" s="36" t="s">
        <v>70</v>
      </c>
      <c r="K13" s="36"/>
      <c r="L13" s="36" t="s">
        <v>70</v>
      </c>
      <c r="M13" s="36" t="s">
        <v>70</v>
      </c>
      <c r="N13" s="36" t="s">
        <v>70</v>
      </c>
      <c r="O13" s="36" t="s">
        <v>70</v>
      </c>
      <c r="P13" s="36" t="s">
        <v>70</v>
      </c>
      <c r="Q13" s="36" t="s">
        <v>70</v>
      </c>
      <c r="R13" s="36"/>
      <c r="S13" s="36" t="s">
        <v>70</v>
      </c>
      <c r="T13" s="36" t="s">
        <v>70</v>
      </c>
      <c r="U13" s="36" t="s">
        <v>70</v>
      </c>
      <c r="V13" s="36" t="s">
        <v>70</v>
      </c>
      <c r="W13" s="36" t="s">
        <v>70</v>
      </c>
      <c r="X13" s="36" t="s">
        <v>70</v>
      </c>
      <c r="Y13" s="36"/>
      <c r="Z13" s="36" t="s">
        <v>70</v>
      </c>
      <c r="AA13" s="36" t="s">
        <v>70</v>
      </c>
      <c r="AB13" s="36" t="s">
        <v>70</v>
      </c>
      <c r="AC13" s="36" t="s">
        <v>70</v>
      </c>
      <c r="AD13" s="36" t="s">
        <v>70</v>
      </c>
      <c r="AE13" s="36" t="s">
        <v>70</v>
      </c>
      <c r="AF13" s="36"/>
      <c r="AG13" s="36" t="s">
        <v>70</v>
      </c>
      <c r="AH13" s="36" t="s">
        <v>70</v>
      </c>
      <c r="AI13" s="9"/>
      <c r="AJ13" s="24">
        <f t="shared" si="2"/>
        <v>26</v>
      </c>
      <c r="AK13" s="24">
        <f t="shared" si="3"/>
        <v>25</v>
      </c>
      <c r="AL13" s="26">
        <f t="shared" si="3"/>
        <v>1</v>
      </c>
    </row>
    <row r="14" spans="1:38" ht="24.6" x14ac:dyDescent="0.4">
      <c r="B14" s="30">
        <v>3433</v>
      </c>
      <c r="C14" s="31" t="s">
        <v>10</v>
      </c>
      <c r="D14" s="36"/>
      <c r="E14" s="36" t="s">
        <v>70</v>
      </c>
      <c r="F14" s="36" t="s">
        <v>70</v>
      </c>
      <c r="G14" s="36" t="s">
        <v>70</v>
      </c>
      <c r="H14" s="36" t="s">
        <v>70</v>
      </c>
      <c r="I14" s="36" t="s">
        <v>70</v>
      </c>
      <c r="J14" s="36" t="s">
        <v>70</v>
      </c>
      <c r="K14" s="36"/>
      <c r="L14" s="36" t="s">
        <v>70</v>
      </c>
      <c r="M14" s="36" t="s">
        <v>70</v>
      </c>
      <c r="N14" s="36" t="s">
        <v>70</v>
      </c>
      <c r="O14" s="36" t="s">
        <v>70</v>
      </c>
      <c r="P14" s="36" t="s">
        <v>70</v>
      </c>
      <c r="Q14" s="36" t="s">
        <v>70</v>
      </c>
      <c r="R14" s="36"/>
      <c r="S14" s="36" t="s">
        <v>70</v>
      </c>
      <c r="T14" s="36" t="s">
        <v>70</v>
      </c>
      <c r="U14" s="36" t="s">
        <v>70</v>
      </c>
      <c r="V14" s="36" t="s">
        <v>70</v>
      </c>
      <c r="W14" s="36" t="s">
        <v>70</v>
      </c>
      <c r="X14" s="36" t="s">
        <v>70</v>
      </c>
      <c r="Y14" s="36"/>
      <c r="Z14" s="36" t="s">
        <v>70</v>
      </c>
      <c r="AA14" s="36" t="s">
        <v>70</v>
      </c>
      <c r="AB14" s="36" t="s">
        <v>70</v>
      </c>
      <c r="AC14" s="36" t="s">
        <v>70</v>
      </c>
      <c r="AD14" s="36" t="s">
        <v>70</v>
      </c>
      <c r="AE14" s="36" t="s">
        <v>70</v>
      </c>
      <c r="AF14" s="36"/>
      <c r="AG14" s="36" t="s">
        <v>70</v>
      </c>
      <c r="AH14" s="36" t="s">
        <v>70</v>
      </c>
      <c r="AI14" s="9"/>
      <c r="AJ14" s="24">
        <f t="shared" si="2"/>
        <v>26</v>
      </c>
      <c r="AK14" s="24">
        <f t="shared" si="3"/>
        <v>26</v>
      </c>
      <c r="AL14" s="26">
        <f t="shared" si="3"/>
        <v>0</v>
      </c>
    </row>
    <row r="15" spans="1:38" ht="24.6" x14ac:dyDescent="0.4">
      <c r="B15" s="30">
        <v>3434</v>
      </c>
      <c r="C15" s="31" t="s">
        <v>11</v>
      </c>
      <c r="D15" s="36"/>
      <c r="E15" s="36" t="s">
        <v>70</v>
      </c>
      <c r="F15" s="36" t="s">
        <v>70</v>
      </c>
      <c r="G15" s="36" t="s">
        <v>70</v>
      </c>
      <c r="H15" s="36" t="s">
        <v>70</v>
      </c>
      <c r="I15" s="36" t="s">
        <v>70</v>
      </c>
      <c r="J15" s="36" t="s">
        <v>70</v>
      </c>
      <c r="K15" s="36"/>
      <c r="L15" s="36" t="s">
        <v>70</v>
      </c>
      <c r="M15" s="36" t="s">
        <v>70</v>
      </c>
      <c r="N15" s="36" t="s">
        <v>70</v>
      </c>
      <c r="O15" s="36" t="s">
        <v>70</v>
      </c>
      <c r="P15" s="36" t="s">
        <v>70</v>
      </c>
      <c r="Q15" s="36" t="s">
        <v>70</v>
      </c>
      <c r="R15" s="36"/>
      <c r="S15" s="36" t="s">
        <v>70</v>
      </c>
      <c r="T15" s="36" t="s">
        <v>70</v>
      </c>
      <c r="U15" s="36" t="s">
        <v>70</v>
      </c>
      <c r="V15" s="36" t="s">
        <v>70</v>
      </c>
      <c r="W15" s="36" t="s">
        <v>70</v>
      </c>
      <c r="X15" s="36" t="s">
        <v>70</v>
      </c>
      <c r="Y15" s="36"/>
      <c r="Z15" s="36" t="s">
        <v>70</v>
      </c>
      <c r="AA15" s="36" t="s">
        <v>70</v>
      </c>
      <c r="AB15" s="36" t="s">
        <v>70</v>
      </c>
      <c r="AC15" s="36" t="s">
        <v>71</v>
      </c>
      <c r="AD15" s="36" t="s">
        <v>70</v>
      </c>
      <c r="AE15" s="36" t="s">
        <v>70</v>
      </c>
      <c r="AF15" s="36"/>
      <c r="AG15" s="36" t="s">
        <v>70</v>
      </c>
      <c r="AH15" s="36" t="s">
        <v>70</v>
      </c>
      <c r="AI15" s="9"/>
      <c r="AJ15" s="24">
        <f t="shared" si="2"/>
        <v>26</v>
      </c>
      <c r="AK15" s="24">
        <f t="shared" si="3"/>
        <v>25</v>
      </c>
      <c r="AL15" s="26">
        <f t="shared" si="3"/>
        <v>1</v>
      </c>
    </row>
    <row r="16" spans="1:38" ht="24.6" x14ac:dyDescent="0.4">
      <c r="B16" s="30">
        <v>3435</v>
      </c>
      <c r="C16" s="31" t="s">
        <v>12</v>
      </c>
      <c r="D16" s="36"/>
      <c r="E16" s="36" t="s">
        <v>70</v>
      </c>
      <c r="F16" s="36" t="s">
        <v>70</v>
      </c>
      <c r="G16" s="36" t="s">
        <v>70</v>
      </c>
      <c r="H16" s="36" t="s">
        <v>70</v>
      </c>
      <c r="I16" s="36" t="s">
        <v>70</v>
      </c>
      <c r="J16" s="36" t="s">
        <v>70</v>
      </c>
      <c r="K16" s="36"/>
      <c r="L16" s="36" t="s">
        <v>70</v>
      </c>
      <c r="M16" s="36" t="s">
        <v>70</v>
      </c>
      <c r="N16" s="36" t="s">
        <v>71</v>
      </c>
      <c r="O16" s="36" t="s">
        <v>70</v>
      </c>
      <c r="P16" s="36" t="s">
        <v>70</v>
      </c>
      <c r="Q16" s="36" t="s">
        <v>70</v>
      </c>
      <c r="R16" s="36"/>
      <c r="S16" s="36" t="s">
        <v>70</v>
      </c>
      <c r="T16" s="36" t="s">
        <v>70</v>
      </c>
      <c r="U16" s="36" t="s">
        <v>70</v>
      </c>
      <c r="V16" s="36" t="s">
        <v>71</v>
      </c>
      <c r="W16" s="36" t="s">
        <v>70</v>
      </c>
      <c r="X16" s="36" t="s">
        <v>70</v>
      </c>
      <c r="Y16" s="36"/>
      <c r="Z16" s="36" t="s">
        <v>70</v>
      </c>
      <c r="AA16" s="36" t="s">
        <v>70</v>
      </c>
      <c r="AB16" s="36" t="s">
        <v>70</v>
      </c>
      <c r="AC16" s="36" t="s">
        <v>70</v>
      </c>
      <c r="AD16" s="36" t="s">
        <v>70</v>
      </c>
      <c r="AE16" s="36" t="s">
        <v>70</v>
      </c>
      <c r="AF16" s="36"/>
      <c r="AG16" s="36" t="s">
        <v>70</v>
      </c>
      <c r="AH16" s="36" t="s">
        <v>70</v>
      </c>
      <c r="AI16" s="9"/>
      <c r="AJ16" s="24">
        <f t="shared" si="2"/>
        <v>26</v>
      </c>
      <c r="AK16" s="24">
        <f t="shared" si="3"/>
        <v>24</v>
      </c>
      <c r="AL16" s="26">
        <f t="shared" si="3"/>
        <v>2</v>
      </c>
    </row>
    <row r="17" spans="2:38" ht="24.6" x14ac:dyDescent="0.4">
      <c r="B17" s="30">
        <v>3436</v>
      </c>
      <c r="C17" s="31" t="s">
        <v>13</v>
      </c>
      <c r="D17" s="36"/>
      <c r="E17" s="36" t="s">
        <v>70</v>
      </c>
      <c r="F17" s="36" t="s">
        <v>70</v>
      </c>
      <c r="G17" s="36" t="s">
        <v>70</v>
      </c>
      <c r="H17" s="36" t="s">
        <v>70</v>
      </c>
      <c r="I17" s="36" t="s">
        <v>70</v>
      </c>
      <c r="J17" s="36" t="s">
        <v>70</v>
      </c>
      <c r="K17" s="36"/>
      <c r="L17" s="36" t="s">
        <v>70</v>
      </c>
      <c r="M17" s="36" t="s">
        <v>70</v>
      </c>
      <c r="N17" s="36" t="s">
        <v>70</v>
      </c>
      <c r="O17" s="36" t="s">
        <v>70</v>
      </c>
      <c r="P17" s="36" t="s">
        <v>70</v>
      </c>
      <c r="Q17" s="36" t="s">
        <v>70</v>
      </c>
      <c r="R17" s="36"/>
      <c r="S17" s="36" t="s">
        <v>70</v>
      </c>
      <c r="T17" s="36" t="s">
        <v>70</v>
      </c>
      <c r="U17" s="36" t="s">
        <v>70</v>
      </c>
      <c r="V17" s="36" t="s">
        <v>70</v>
      </c>
      <c r="W17" s="36" t="s">
        <v>70</v>
      </c>
      <c r="X17" s="36" t="s">
        <v>70</v>
      </c>
      <c r="Y17" s="36"/>
      <c r="Z17" s="36" t="s">
        <v>70</v>
      </c>
      <c r="AA17" s="36" t="s">
        <v>70</v>
      </c>
      <c r="AB17" s="36" t="s">
        <v>70</v>
      </c>
      <c r="AC17" s="36" t="s">
        <v>70</v>
      </c>
      <c r="AD17" s="36" t="s">
        <v>70</v>
      </c>
      <c r="AE17" s="36" t="s">
        <v>70</v>
      </c>
      <c r="AF17" s="36"/>
      <c r="AG17" s="36" t="s">
        <v>70</v>
      </c>
      <c r="AH17" s="36" t="s">
        <v>70</v>
      </c>
      <c r="AI17" s="9"/>
      <c r="AJ17" s="24">
        <f t="shared" si="2"/>
        <v>26</v>
      </c>
      <c r="AK17" s="24">
        <f t="shared" si="3"/>
        <v>26</v>
      </c>
      <c r="AL17" s="26">
        <f t="shared" si="3"/>
        <v>0</v>
      </c>
    </row>
    <row r="18" spans="2:38" ht="24.6" x14ac:dyDescent="0.4">
      <c r="B18" s="30">
        <v>3437</v>
      </c>
      <c r="C18" s="31" t="s">
        <v>14</v>
      </c>
      <c r="D18" s="36"/>
      <c r="E18" s="36" t="s">
        <v>70</v>
      </c>
      <c r="F18" s="36" t="s">
        <v>70</v>
      </c>
      <c r="G18" s="36" t="s">
        <v>70</v>
      </c>
      <c r="H18" s="36" t="s">
        <v>70</v>
      </c>
      <c r="I18" s="36" t="s">
        <v>70</v>
      </c>
      <c r="J18" s="36" t="s">
        <v>70</v>
      </c>
      <c r="K18" s="36"/>
      <c r="L18" s="36" t="s">
        <v>70</v>
      </c>
      <c r="M18" s="36" t="s">
        <v>70</v>
      </c>
      <c r="N18" s="36" t="s">
        <v>70</v>
      </c>
      <c r="O18" s="36" t="s">
        <v>70</v>
      </c>
      <c r="P18" s="36" t="s">
        <v>70</v>
      </c>
      <c r="Q18" s="36" t="s">
        <v>70</v>
      </c>
      <c r="R18" s="36"/>
      <c r="S18" s="36" t="s">
        <v>70</v>
      </c>
      <c r="T18" s="36" t="s">
        <v>70</v>
      </c>
      <c r="U18" s="36" t="s">
        <v>70</v>
      </c>
      <c r="V18" s="36" t="s">
        <v>70</v>
      </c>
      <c r="W18" s="36" t="s">
        <v>70</v>
      </c>
      <c r="X18" s="36" t="s">
        <v>70</v>
      </c>
      <c r="Y18" s="36"/>
      <c r="Z18" s="36" t="s">
        <v>70</v>
      </c>
      <c r="AA18" s="36" t="s">
        <v>70</v>
      </c>
      <c r="AB18" s="36" t="s">
        <v>70</v>
      </c>
      <c r="AC18" s="36" t="s">
        <v>70</v>
      </c>
      <c r="AD18" s="36" t="s">
        <v>70</v>
      </c>
      <c r="AE18" s="36" t="s">
        <v>70</v>
      </c>
      <c r="AF18" s="36"/>
      <c r="AG18" s="36" t="s">
        <v>70</v>
      </c>
      <c r="AH18" s="36" t="s">
        <v>70</v>
      </c>
      <c r="AI18" s="9"/>
      <c r="AJ18" s="24">
        <f t="shared" si="2"/>
        <v>26</v>
      </c>
      <c r="AK18" s="24">
        <f t="shared" si="3"/>
        <v>26</v>
      </c>
      <c r="AL18" s="26">
        <f t="shared" si="3"/>
        <v>0</v>
      </c>
    </row>
    <row r="19" spans="2:38" ht="24.6" x14ac:dyDescent="0.4">
      <c r="B19" s="30">
        <v>3438</v>
      </c>
      <c r="C19" s="31" t="s">
        <v>15</v>
      </c>
      <c r="D19" s="36"/>
      <c r="E19" s="36" t="s">
        <v>70</v>
      </c>
      <c r="F19" s="36" t="s">
        <v>70</v>
      </c>
      <c r="G19" s="36" t="s">
        <v>70</v>
      </c>
      <c r="H19" s="36" t="s">
        <v>70</v>
      </c>
      <c r="I19" s="36" t="s">
        <v>70</v>
      </c>
      <c r="J19" s="36" t="s">
        <v>70</v>
      </c>
      <c r="K19" s="36"/>
      <c r="L19" s="36" t="s">
        <v>70</v>
      </c>
      <c r="M19" s="36" t="s">
        <v>70</v>
      </c>
      <c r="N19" s="36" t="s">
        <v>70</v>
      </c>
      <c r="O19" s="36" t="s">
        <v>70</v>
      </c>
      <c r="P19" s="36" t="s">
        <v>70</v>
      </c>
      <c r="Q19" s="36" t="s">
        <v>70</v>
      </c>
      <c r="R19" s="36"/>
      <c r="S19" s="36" t="s">
        <v>70</v>
      </c>
      <c r="T19" s="36" t="s">
        <v>70</v>
      </c>
      <c r="U19" s="36" t="s">
        <v>70</v>
      </c>
      <c r="V19" s="36" t="s">
        <v>70</v>
      </c>
      <c r="W19" s="36" t="s">
        <v>70</v>
      </c>
      <c r="X19" s="36" t="s">
        <v>70</v>
      </c>
      <c r="Y19" s="36"/>
      <c r="Z19" s="36" t="s">
        <v>70</v>
      </c>
      <c r="AA19" s="36" t="s">
        <v>70</v>
      </c>
      <c r="AB19" s="36" t="s">
        <v>70</v>
      </c>
      <c r="AC19" s="36" t="s">
        <v>70</v>
      </c>
      <c r="AD19" s="36" t="s">
        <v>70</v>
      </c>
      <c r="AE19" s="36" t="s">
        <v>70</v>
      </c>
      <c r="AF19" s="36"/>
      <c r="AG19" s="36" t="s">
        <v>70</v>
      </c>
      <c r="AH19" s="36" t="s">
        <v>71</v>
      </c>
      <c r="AI19" s="9"/>
      <c r="AJ19" s="24">
        <f t="shared" si="2"/>
        <v>26</v>
      </c>
      <c r="AK19" s="24">
        <f t="shared" si="3"/>
        <v>25</v>
      </c>
      <c r="AL19" s="26">
        <f t="shared" si="3"/>
        <v>1</v>
      </c>
    </row>
    <row r="20" spans="2:38" ht="24.6" x14ac:dyDescent="0.4">
      <c r="B20" s="30">
        <v>3439</v>
      </c>
      <c r="C20" s="31" t="s">
        <v>16</v>
      </c>
      <c r="D20" s="36"/>
      <c r="E20" s="36" t="s">
        <v>70</v>
      </c>
      <c r="F20" s="36" t="s">
        <v>70</v>
      </c>
      <c r="G20" s="36" t="s">
        <v>70</v>
      </c>
      <c r="H20" s="36" t="s">
        <v>70</v>
      </c>
      <c r="I20" s="36" t="s">
        <v>70</v>
      </c>
      <c r="J20" s="36" t="s">
        <v>70</v>
      </c>
      <c r="K20" s="36"/>
      <c r="L20" s="36" t="s">
        <v>70</v>
      </c>
      <c r="M20" s="36" t="s">
        <v>70</v>
      </c>
      <c r="N20" s="36" t="s">
        <v>70</v>
      </c>
      <c r="O20" s="36" t="s">
        <v>70</v>
      </c>
      <c r="P20" s="36" t="s">
        <v>70</v>
      </c>
      <c r="Q20" s="36" t="s">
        <v>70</v>
      </c>
      <c r="R20" s="36"/>
      <c r="S20" s="36" t="s">
        <v>70</v>
      </c>
      <c r="T20" s="36" t="s">
        <v>70</v>
      </c>
      <c r="U20" s="36" t="s">
        <v>70</v>
      </c>
      <c r="V20" s="36" t="s">
        <v>70</v>
      </c>
      <c r="W20" s="36" t="s">
        <v>70</v>
      </c>
      <c r="X20" s="36" t="s">
        <v>70</v>
      </c>
      <c r="Y20" s="36"/>
      <c r="Z20" s="36" t="s">
        <v>71</v>
      </c>
      <c r="AA20" s="36" t="s">
        <v>70</v>
      </c>
      <c r="AB20" s="36" t="s">
        <v>70</v>
      </c>
      <c r="AC20" s="36" t="s">
        <v>70</v>
      </c>
      <c r="AD20" s="36" t="s">
        <v>70</v>
      </c>
      <c r="AE20" s="36" t="s">
        <v>70</v>
      </c>
      <c r="AF20" s="36"/>
      <c r="AG20" s="36" t="s">
        <v>70</v>
      </c>
      <c r="AH20" s="36" t="s">
        <v>70</v>
      </c>
      <c r="AI20" s="9"/>
      <c r="AJ20" s="24">
        <f t="shared" si="2"/>
        <v>26</v>
      </c>
      <c r="AK20" s="24">
        <f t="shared" si="3"/>
        <v>25</v>
      </c>
      <c r="AL20" s="26">
        <f t="shared" si="3"/>
        <v>1</v>
      </c>
    </row>
    <row r="21" spans="2:38" ht="24.6" x14ac:dyDescent="0.4">
      <c r="B21" s="30">
        <v>3440</v>
      </c>
      <c r="C21" s="31" t="s">
        <v>17</v>
      </c>
      <c r="D21" s="36"/>
      <c r="E21" s="36" t="s">
        <v>70</v>
      </c>
      <c r="F21" s="36" t="s">
        <v>70</v>
      </c>
      <c r="G21" s="36" t="s">
        <v>70</v>
      </c>
      <c r="H21" s="36" t="s">
        <v>70</v>
      </c>
      <c r="I21" s="36" t="s">
        <v>71</v>
      </c>
      <c r="J21" s="36" t="s">
        <v>70</v>
      </c>
      <c r="K21" s="36"/>
      <c r="L21" s="36" t="s">
        <v>70</v>
      </c>
      <c r="M21" s="36" t="s">
        <v>70</v>
      </c>
      <c r="N21" s="36" t="s">
        <v>70</v>
      </c>
      <c r="O21" s="36" t="s">
        <v>70</v>
      </c>
      <c r="P21" s="36" t="s">
        <v>70</v>
      </c>
      <c r="Q21" s="36" t="s">
        <v>70</v>
      </c>
      <c r="R21" s="36"/>
      <c r="S21" s="36" t="s">
        <v>70</v>
      </c>
      <c r="T21" s="36" t="s">
        <v>70</v>
      </c>
      <c r="U21" s="36" t="s">
        <v>70</v>
      </c>
      <c r="V21" s="36" t="s">
        <v>70</v>
      </c>
      <c r="W21" s="36" t="s">
        <v>70</v>
      </c>
      <c r="X21" s="36" t="s">
        <v>70</v>
      </c>
      <c r="Y21" s="36"/>
      <c r="Z21" s="36" t="s">
        <v>70</v>
      </c>
      <c r="AA21" s="36" t="s">
        <v>70</v>
      </c>
      <c r="AB21" s="36" t="s">
        <v>70</v>
      </c>
      <c r="AC21" s="36" t="s">
        <v>70</v>
      </c>
      <c r="AD21" s="36" t="s">
        <v>70</v>
      </c>
      <c r="AE21" s="36" t="s">
        <v>70</v>
      </c>
      <c r="AF21" s="36"/>
      <c r="AG21" s="36" t="s">
        <v>70</v>
      </c>
      <c r="AH21" s="36" t="s">
        <v>70</v>
      </c>
      <c r="AI21" s="9"/>
      <c r="AJ21" s="24">
        <f t="shared" si="2"/>
        <v>26</v>
      </c>
      <c r="AK21" s="24">
        <f t="shared" si="3"/>
        <v>25</v>
      </c>
      <c r="AL21" s="26">
        <f t="shared" si="3"/>
        <v>1</v>
      </c>
    </row>
    <row r="22" spans="2:38" ht="24.6" x14ac:dyDescent="0.4">
      <c r="B22" s="30">
        <v>3441</v>
      </c>
      <c r="C22" s="31" t="s">
        <v>18</v>
      </c>
      <c r="D22" s="36"/>
      <c r="E22" s="36" t="s">
        <v>70</v>
      </c>
      <c r="F22" s="36" t="s">
        <v>70</v>
      </c>
      <c r="G22" s="36" t="s">
        <v>70</v>
      </c>
      <c r="H22" s="36" t="s">
        <v>70</v>
      </c>
      <c r="I22" s="36" t="s">
        <v>70</v>
      </c>
      <c r="J22" s="36" t="s">
        <v>70</v>
      </c>
      <c r="K22" s="36"/>
      <c r="L22" s="36" t="s">
        <v>70</v>
      </c>
      <c r="M22" s="36" t="s">
        <v>70</v>
      </c>
      <c r="N22" s="36" t="s">
        <v>70</v>
      </c>
      <c r="O22" s="36" t="s">
        <v>70</v>
      </c>
      <c r="P22" s="36" t="s">
        <v>70</v>
      </c>
      <c r="Q22" s="36" t="s">
        <v>70</v>
      </c>
      <c r="R22" s="36"/>
      <c r="S22" s="36" t="s">
        <v>70</v>
      </c>
      <c r="T22" s="36" t="s">
        <v>71</v>
      </c>
      <c r="U22" s="36" t="s">
        <v>70</v>
      </c>
      <c r="V22" s="36" t="s">
        <v>70</v>
      </c>
      <c r="W22" s="36" t="s">
        <v>70</v>
      </c>
      <c r="X22" s="36" t="s">
        <v>70</v>
      </c>
      <c r="Y22" s="36"/>
      <c r="Z22" s="36" t="s">
        <v>70</v>
      </c>
      <c r="AA22" s="36" t="s">
        <v>70</v>
      </c>
      <c r="AB22" s="36" t="s">
        <v>70</v>
      </c>
      <c r="AC22" s="36" t="s">
        <v>70</v>
      </c>
      <c r="AD22" s="36" t="s">
        <v>70</v>
      </c>
      <c r="AE22" s="36" t="s">
        <v>70</v>
      </c>
      <c r="AF22" s="36"/>
      <c r="AG22" s="36" t="s">
        <v>70</v>
      </c>
      <c r="AH22" s="36" t="s">
        <v>70</v>
      </c>
      <c r="AI22" s="9"/>
      <c r="AJ22" s="24">
        <f t="shared" si="2"/>
        <v>26</v>
      </c>
      <c r="AK22" s="24">
        <f t="shared" si="3"/>
        <v>25</v>
      </c>
      <c r="AL22" s="26">
        <f t="shared" si="3"/>
        <v>1</v>
      </c>
    </row>
    <row r="23" spans="2:38" ht="24.6" x14ac:dyDescent="0.4">
      <c r="B23" s="30">
        <v>3442</v>
      </c>
      <c r="C23" s="31" t="s">
        <v>19</v>
      </c>
      <c r="D23" s="36"/>
      <c r="E23" s="36" t="s">
        <v>70</v>
      </c>
      <c r="F23" s="36" t="s">
        <v>71</v>
      </c>
      <c r="G23" s="36" t="s">
        <v>70</v>
      </c>
      <c r="H23" s="36" t="s">
        <v>70</v>
      </c>
      <c r="I23" s="36" t="s">
        <v>70</v>
      </c>
      <c r="J23" s="36" t="s">
        <v>70</v>
      </c>
      <c r="K23" s="36"/>
      <c r="L23" s="36" t="s">
        <v>70</v>
      </c>
      <c r="M23" s="36" t="s">
        <v>70</v>
      </c>
      <c r="N23" s="36" t="s">
        <v>70</v>
      </c>
      <c r="O23" s="36" t="s">
        <v>70</v>
      </c>
      <c r="P23" s="36" t="s">
        <v>70</v>
      </c>
      <c r="Q23" s="36" t="s">
        <v>70</v>
      </c>
      <c r="R23" s="36"/>
      <c r="S23" s="36" t="s">
        <v>70</v>
      </c>
      <c r="T23" s="36" t="s">
        <v>70</v>
      </c>
      <c r="U23" s="36" t="s">
        <v>70</v>
      </c>
      <c r="V23" s="36" t="s">
        <v>70</v>
      </c>
      <c r="W23" s="36" t="s">
        <v>70</v>
      </c>
      <c r="X23" s="36" t="s">
        <v>71</v>
      </c>
      <c r="Y23" s="36"/>
      <c r="Z23" s="36" t="s">
        <v>70</v>
      </c>
      <c r="AA23" s="36" t="s">
        <v>70</v>
      </c>
      <c r="AB23" s="36" t="s">
        <v>70</v>
      </c>
      <c r="AC23" s="36" t="s">
        <v>70</v>
      </c>
      <c r="AD23" s="36" t="s">
        <v>70</v>
      </c>
      <c r="AE23" s="36" t="s">
        <v>70</v>
      </c>
      <c r="AF23" s="36"/>
      <c r="AG23" s="36" t="s">
        <v>70</v>
      </c>
      <c r="AH23" s="36" t="s">
        <v>70</v>
      </c>
      <c r="AI23" s="9"/>
      <c r="AJ23" s="24">
        <f t="shared" si="2"/>
        <v>26</v>
      </c>
      <c r="AK23" s="24">
        <f t="shared" si="3"/>
        <v>24</v>
      </c>
      <c r="AL23" s="26">
        <f t="shared" si="3"/>
        <v>2</v>
      </c>
    </row>
    <row r="24" spans="2:38" ht="24.6" x14ac:dyDescent="0.4">
      <c r="B24" s="30">
        <v>3443</v>
      </c>
      <c r="C24" s="31" t="s">
        <v>20</v>
      </c>
      <c r="D24" s="36"/>
      <c r="E24" s="36" t="s">
        <v>70</v>
      </c>
      <c r="F24" s="36" t="s">
        <v>70</v>
      </c>
      <c r="G24" s="36" t="s">
        <v>70</v>
      </c>
      <c r="H24" s="36" t="s">
        <v>70</v>
      </c>
      <c r="I24" s="36" t="s">
        <v>70</v>
      </c>
      <c r="J24" s="36" t="s">
        <v>70</v>
      </c>
      <c r="K24" s="36"/>
      <c r="L24" s="36" t="s">
        <v>70</v>
      </c>
      <c r="M24" s="36" t="s">
        <v>70</v>
      </c>
      <c r="N24" s="36" t="s">
        <v>70</v>
      </c>
      <c r="O24" s="36" t="s">
        <v>70</v>
      </c>
      <c r="P24" s="36" t="s">
        <v>70</v>
      </c>
      <c r="Q24" s="36" t="s">
        <v>70</v>
      </c>
      <c r="R24" s="36"/>
      <c r="S24" s="36" t="s">
        <v>70</v>
      </c>
      <c r="T24" s="36" t="s">
        <v>70</v>
      </c>
      <c r="U24" s="36" t="s">
        <v>70</v>
      </c>
      <c r="V24" s="36" t="s">
        <v>70</v>
      </c>
      <c r="W24" s="36" t="s">
        <v>70</v>
      </c>
      <c r="X24" s="36" t="s">
        <v>70</v>
      </c>
      <c r="Y24" s="36"/>
      <c r="Z24" s="36" t="s">
        <v>71</v>
      </c>
      <c r="AA24" s="36" t="s">
        <v>70</v>
      </c>
      <c r="AB24" s="36" t="s">
        <v>70</v>
      </c>
      <c r="AC24" s="36" t="s">
        <v>70</v>
      </c>
      <c r="AD24" s="36" t="s">
        <v>70</v>
      </c>
      <c r="AE24" s="36" t="s">
        <v>70</v>
      </c>
      <c r="AF24" s="36"/>
      <c r="AG24" s="36" t="s">
        <v>70</v>
      </c>
      <c r="AH24" s="36" t="s">
        <v>70</v>
      </c>
      <c r="AI24" s="9"/>
      <c r="AJ24" s="24">
        <f t="shared" si="2"/>
        <v>26</v>
      </c>
      <c r="AK24" s="24">
        <f t="shared" si="3"/>
        <v>25</v>
      </c>
      <c r="AL24" s="26">
        <f t="shared" si="3"/>
        <v>1</v>
      </c>
    </row>
    <row r="25" spans="2:38" ht="24.6" x14ac:dyDescent="0.4">
      <c r="B25" s="30">
        <v>3444</v>
      </c>
      <c r="C25" s="31" t="s">
        <v>21</v>
      </c>
      <c r="D25" s="36"/>
      <c r="E25" s="36" t="s">
        <v>70</v>
      </c>
      <c r="F25" s="36" t="s">
        <v>70</v>
      </c>
      <c r="G25" s="36" t="s">
        <v>70</v>
      </c>
      <c r="H25" s="36" t="s">
        <v>70</v>
      </c>
      <c r="I25" s="36" t="s">
        <v>70</v>
      </c>
      <c r="J25" s="36" t="s">
        <v>70</v>
      </c>
      <c r="K25" s="36"/>
      <c r="L25" s="36" t="s">
        <v>70</v>
      </c>
      <c r="M25" s="36" t="s">
        <v>70</v>
      </c>
      <c r="N25" s="36" t="s">
        <v>70</v>
      </c>
      <c r="O25" s="36" t="s">
        <v>70</v>
      </c>
      <c r="P25" s="36" t="s">
        <v>70</v>
      </c>
      <c r="Q25" s="36" t="s">
        <v>70</v>
      </c>
      <c r="R25" s="36"/>
      <c r="S25" s="36" t="s">
        <v>70</v>
      </c>
      <c r="T25" s="36" t="s">
        <v>70</v>
      </c>
      <c r="U25" s="36" t="s">
        <v>70</v>
      </c>
      <c r="V25" s="36" t="s">
        <v>70</v>
      </c>
      <c r="W25" s="36" t="s">
        <v>70</v>
      </c>
      <c r="X25" s="36" t="s">
        <v>70</v>
      </c>
      <c r="Y25" s="36"/>
      <c r="Z25" s="36" t="s">
        <v>70</v>
      </c>
      <c r="AA25" s="36" t="s">
        <v>70</v>
      </c>
      <c r="AB25" s="36" t="s">
        <v>70</v>
      </c>
      <c r="AC25" s="36" t="s">
        <v>70</v>
      </c>
      <c r="AD25" s="36" t="s">
        <v>70</v>
      </c>
      <c r="AE25" s="36" t="s">
        <v>70</v>
      </c>
      <c r="AF25" s="36"/>
      <c r="AG25" s="36" t="s">
        <v>71</v>
      </c>
      <c r="AH25" s="36" t="s">
        <v>70</v>
      </c>
      <c r="AI25" s="9"/>
      <c r="AJ25" s="24">
        <f t="shared" si="2"/>
        <v>26</v>
      </c>
      <c r="AK25" s="24">
        <f t="shared" si="3"/>
        <v>25</v>
      </c>
      <c r="AL25" s="26">
        <f t="shared" si="3"/>
        <v>1</v>
      </c>
    </row>
    <row r="26" spans="2:38" ht="24.6" x14ac:dyDescent="0.4">
      <c r="B26" s="30">
        <v>3445</v>
      </c>
      <c r="C26" s="31" t="s">
        <v>22</v>
      </c>
      <c r="D26" s="36"/>
      <c r="E26" s="36" t="s">
        <v>70</v>
      </c>
      <c r="F26" s="36" t="s">
        <v>70</v>
      </c>
      <c r="G26" s="36" t="s">
        <v>70</v>
      </c>
      <c r="H26" s="36" t="s">
        <v>70</v>
      </c>
      <c r="I26" s="36" t="s">
        <v>70</v>
      </c>
      <c r="J26" s="36" t="s">
        <v>70</v>
      </c>
      <c r="K26" s="36"/>
      <c r="L26" s="36" t="s">
        <v>70</v>
      </c>
      <c r="M26" s="36" t="s">
        <v>70</v>
      </c>
      <c r="N26" s="36" t="s">
        <v>70</v>
      </c>
      <c r="O26" s="36" t="s">
        <v>70</v>
      </c>
      <c r="P26" s="36" t="s">
        <v>70</v>
      </c>
      <c r="Q26" s="36" t="s">
        <v>70</v>
      </c>
      <c r="R26" s="36"/>
      <c r="S26" s="36" t="s">
        <v>71</v>
      </c>
      <c r="T26" s="36" t="s">
        <v>70</v>
      </c>
      <c r="U26" s="36" t="s">
        <v>70</v>
      </c>
      <c r="V26" s="36" t="s">
        <v>70</v>
      </c>
      <c r="W26" s="36" t="s">
        <v>70</v>
      </c>
      <c r="X26" s="36" t="s">
        <v>70</v>
      </c>
      <c r="Y26" s="36"/>
      <c r="Z26" s="36" t="s">
        <v>70</v>
      </c>
      <c r="AA26" s="36" t="s">
        <v>70</v>
      </c>
      <c r="AB26" s="36" t="s">
        <v>70</v>
      </c>
      <c r="AC26" s="36" t="s">
        <v>70</v>
      </c>
      <c r="AD26" s="36" t="s">
        <v>70</v>
      </c>
      <c r="AE26" s="36" t="s">
        <v>70</v>
      </c>
      <c r="AF26" s="36"/>
      <c r="AG26" s="36" t="s">
        <v>70</v>
      </c>
      <c r="AH26" s="36" t="s">
        <v>70</v>
      </c>
      <c r="AI26" s="9"/>
      <c r="AJ26" s="24">
        <f t="shared" si="2"/>
        <v>26</v>
      </c>
      <c r="AK26" s="24">
        <f t="shared" si="3"/>
        <v>25</v>
      </c>
      <c r="AL26" s="26">
        <f t="shared" si="3"/>
        <v>1</v>
      </c>
    </row>
    <row r="27" spans="2:38" ht="24.6" x14ac:dyDescent="0.4">
      <c r="B27" s="30">
        <v>3446</v>
      </c>
      <c r="C27" s="31" t="s">
        <v>23</v>
      </c>
      <c r="D27" s="36"/>
      <c r="E27" s="36" t="s">
        <v>70</v>
      </c>
      <c r="F27" s="36" t="s">
        <v>70</v>
      </c>
      <c r="G27" s="36" t="s">
        <v>70</v>
      </c>
      <c r="H27" s="36" t="s">
        <v>70</v>
      </c>
      <c r="I27" s="36" t="s">
        <v>70</v>
      </c>
      <c r="J27" s="36" t="s">
        <v>70</v>
      </c>
      <c r="K27" s="36"/>
      <c r="L27" s="36" t="s">
        <v>70</v>
      </c>
      <c r="M27" s="36" t="s">
        <v>70</v>
      </c>
      <c r="N27" s="36" t="s">
        <v>70</v>
      </c>
      <c r="O27" s="36" t="s">
        <v>70</v>
      </c>
      <c r="P27" s="36" t="s">
        <v>70</v>
      </c>
      <c r="Q27" s="36" t="s">
        <v>70</v>
      </c>
      <c r="R27" s="36"/>
      <c r="S27" s="36" t="s">
        <v>70</v>
      </c>
      <c r="T27" s="36" t="s">
        <v>70</v>
      </c>
      <c r="U27" s="36" t="s">
        <v>70</v>
      </c>
      <c r="V27" s="36" t="s">
        <v>70</v>
      </c>
      <c r="W27" s="36" t="s">
        <v>70</v>
      </c>
      <c r="X27" s="36" t="s">
        <v>70</v>
      </c>
      <c r="Y27" s="36"/>
      <c r="Z27" s="36" t="s">
        <v>70</v>
      </c>
      <c r="AA27" s="36" t="s">
        <v>70</v>
      </c>
      <c r="AB27" s="36" t="s">
        <v>70</v>
      </c>
      <c r="AC27" s="36" t="s">
        <v>70</v>
      </c>
      <c r="AD27" s="36" t="s">
        <v>70</v>
      </c>
      <c r="AE27" s="36" t="s">
        <v>70</v>
      </c>
      <c r="AF27" s="36"/>
      <c r="AG27" s="36" t="s">
        <v>70</v>
      </c>
      <c r="AH27" s="36" t="s">
        <v>70</v>
      </c>
      <c r="AI27" s="9"/>
      <c r="AJ27" s="24">
        <f t="shared" si="2"/>
        <v>26</v>
      </c>
      <c r="AK27" s="24">
        <f t="shared" si="3"/>
        <v>26</v>
      </c>
      <c r="AL27" s="26">
        <f t="shared" si="3"/>
        <v>0</v>
      </c>
    </row>
  </sheetData>
  <mergeCells count="7">
    <mergeCell ref="B2:C2"/>
    <mergeCell ref="D2:AL5"/>
    <mergeCell ref="B6:B7"/>
    <mergeCell ref="C6:C7"/>
    <mergeCell ref="AJ6:AJ7"/>
    <mergeCell ref="AK6:AK7"/>
    <mergeCell ref="AL6:AL7"/>
  </mergeCells>
  <conditionalFormatting sqref="D8:AH27">
    <cfRule type="containsText" dxfId="8" priority="1" operator="containsText" text="A">
      <formula>NOT(ISERROR(SEARCH("A",D8)))</formula>
    </cfRule>
    <cfRule type="expression" dxfId="7" priority="5">
      <formula>D$6="Sun"</formula>
    </cfRule>
    <cfRule type="expression" dxfId="6" priority="6">
      <formula>D$6="Sun"</formula>
    </cfRule>
  </conditionalFormatting>
  <conditionalFormatting sqref="D6:AL7">
    <cfRule type="notContainsBlanks" dxfId="5" priority="2">
      <formula>LEN(TRIM(D6))&gt;0</formula>
    </cfRule>
    <cfRule type="notContainsBlanks" dxfId="4" priority="3">
      <formula>LEN(TRIM(D6))&gt;0</formula>
    </cfRule>
  </conditionalFormatting>
  <conditionalFormatting sqref="D6:AL27">
    <cfRule type="expression" dxfId="3" priority="4">
      <formula>D$6&lt;&gt;""</formula>
    </cfRule>
  </conditionalFormatting>
  <dataValidations count="4">
    <dataValidation type="list" allowBlank="1" showInputMessage="1" showErrorMessage="1" sqref="C3" xr:uid="{00000000-0002-0000-1000-000000000000}">
      <formula1>"JANUARY,FEBRUARY,MARCH,APRIL,MAY,JUNE,JULY,AUGUST,SEPTEMBER,NOVEMBER,DECEMBER"</formula1>
    </dataValidation>
    <dataValidation type="list" allowBlank="1" showInputMessage="1" showErrorMessage="1" sqref="C4" xr:uid="{00000000-0002-0000-1000-000001000000}">
      <formula1>"2024"</formula1>
    </dataValidation>
    <dataValidation type="custom" allowBlank="1" showInputMessage="1" showErrorMessage="1" errorTitle="Info" error="Week Off" sqref="AI6:AL27" xr:uid="{00000000-0002-0000-1000-000002000000}">
      <formula1>AI$6&lt;&gt;""</formula1>
    </dataValidation>
    <dataValidation type="custom" allowBlank="1" showInputMessage="1" showErrorMessage="1" errorTitle="Info" error="Week Off" sqref="D6:AH27" xr:uid="{00000000-0002-0000-1000-000003000000}">
      <formula1>D$6&lt;&gt;"Sun"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37"/>
  <sheetViews>
    <sheetView zoomScale="30" zoomScaleNormal="30" workbookViewId="0">
      <selection activeCell="G9" sqref="G9"/>
    </sheetView>
  </sheetViews>
  <sheetFormatPr defaultRowHeight="14.4" x14ac:dyDescent="0.3"/>
  <cols>
    <col min="1" max="3" width="64.5546875" customWidth="1"/>
    <col min="4" max="4" width="121.5546875" customWidth="1"/>
    <col min="5" max="5" width="75.88671875" customWidth="1"/>
    <col min="6" max="6" width="10.44140625" customWidth="1"/>
    <col min="7" max="7" width="60.5546875" customWidth="1"/>
    <col min="8" max="8" width="47.33203125" customWidth="1"/>
    <col min="9" max="9" width="58.109375" customWidth="1"/>
  </cols>
  <sheetData>
    <row r="1" spans="1:9" ht="80.25" customHeight="1" x14ac:dyDescent="0.3"/>
    <row r="2" spans="1:9" ht="72" customHeight="1" x14ac:dyDescent="0.85">
      <c r="A2" s="203" t="str">
        <f>HYPERLINK("#'Table Of contents'!B1","GO TO TOC SHEET")</f>
        <v>GO TO TOC SHEET</v>
      </c>
      <c r="B2" s="203"/>
      <c r="C2" s="203"/>
    </row>
    <row r="3" spans="1:9" ht="42.75" customHeight="1" thickBot="1" x14ac:dyDescent="0.35"/>
    <row r="4" spans="1:9" ht="93.75" customHeight="1" thickBot="1" x14ac:dyDescent="0.35">
      <c r="D4" s="310" t="s">
        <v>82</v>
      </c>
      <c r="E4" s="311"/>
      <c r="F4" s="311"/>
      <c r="G4" s="311"/>
      <c r="H4" s="311"/>
      <c r="I4" s="312"/>
    </row>
    <row r="5" spans="1:9" ht="58.5" customHeight="1" x14ac:dyDescent="0.85">
      <c r="A5" s="313" t="s">
        <v>123</v>
      </c>
      <c r="B5" s="314"/>
      <c r="D5" s="315" t="s">
        <v>2</v>
      </c>
      <c r="E5" s="317" t="s">
        <v>81</v>
      </c>
      <c r="F5" s="323"/>
      <c r="G5" s="319" t="s">
        <v>69</v>
      </c>
      <c r="H5" s="319" t="s">
        <v>70</v>
      </c>
      <c r="I5" s="321" t="s">
        <v>71</v>
      </c>
    </row>
    <row r="6" spans="1:9" ht="60" customHeight="1" x14ac:dyDescent="0.85">
      <c r="A6" s="217" t="s">
        <v>66</v>
      </c>
      <c r="B6" s="219" t="str">
        <f>HYPERLINK("#'"&amp;A6&amp;"'!A1",A6)</f>
        <v>JANUARY</v>
      </c>
      <c r="D6" s="316"/>
      <c r="E6" s="318"/>
      <c r="F6" s="324"/>
      <c r="G6" s="320"/>
      <c r="H6" s="320"/>
      <c r="I6" s="322"/>
    </row>
    <row r="7" spans="1:9" ht="46.8" x14ac:dyDescent="0.85">
      <c r="A7" s="217" t="s">
        <v>67</v>
      </c>
      <c r="B7" s="219" t="str">
        <f>HYPERLINK("#'"&amp;A7&amp;"'!A1",A7)</f>
        <v>FEBRUARY</v>
      </c>
      <c r="D7" s="164">
        <v>3427</v>
      </c>
      <c r="E7" s="159" t="s">
        <v>4</v>
      </c>
      <c r="F7" s="323"/>
      <c r="G7" s="160">
        <f>JANUARY!AJ8+FEBRUARY!AH8+MARCH!AJ8+APRIL!AI8+MAY!AJ8+JUNE!AI8+JULY!AJ8+AUGUST!AJ8+SEPTEMBER!AI8+OCTOBER!AJ8+NOVEMBER!AI8+DECEMBER!AJ8</f>
        <v>314</v>
      </c>
      <c r="H7" s="160">
        <f>JANUARY!AK8+FEBRUARY!AI8+MARCH!AK8+APRIL!AJ8+MAY!AK8+JUNE!AJ8+JULY!AK8+AUGUST!AK8+SEPTEMBER!AJ8+OCTOBER!AK8+NOVEMBER!AJ8+DECEMBER!AK8</f>
        <v>307</v>
      </c>
      <c r="I7" s="224">
        <f>JANUARY!AL8+FEBRUARY!AJ8+MARCH!AL8+APRIL!AK8+MAY!AL8+JUNE!AK8+JULY!AL8+AUGUST!AL8+SEPTEMBER!AK8+OCTOBER!AL8+NOVEMBER!AK8+DECEMBER!AL8</f>
        <v>7</v>
      </c>
    </row>
    <row r="8" spans="1:9" ht="46.8" x14ac:dyDescent="0.85">
      <c r="A8" s="217" t="s">
        <v>74</v>
      </c>
      <c r="B8" s="219" t="str">
        <f t="shared" ref="B8:B17" si="0">HYPERLINK("#'"&amp;A8&amp;"'!A1",A8)</f>
        <v>MARCH</v>
      </c>
      <c r="D8" s="161">
        <v>3428</v>
      </c>
      <c r="E8" s="162" t="s">
        <v>5</v>
      </c>
      <c r="F8" s="324"/>
      <c r="G8" s="163">
        <f>JANUARY!AJ9+FEBRUARY!AH9+MARCH!AJ9+APRIL!AI9+MAY!AJ9+JUNE!AI9+JULY!AJ9+AUGUST!AJ9+SEPTEMBER!AI9+OCTOBER!AJ9+NOVEMBER!AI9+DECEMBER!AJ9</f>
        <v>314</v>
      </c>
      <c r="H8" s="163">
        <f>JANUARY!AK9+FEBRUARY!AI9+MARCH!AK9+APRIL!AJ9+MAY!AK9+JUNE!AJ9+JULY!AK9+AUGUST!AK9+SEPTEMBER!AJ9+OCTOBER!AK9+NOVEMBER!AJ9+DECEMBER!AK9</f>
        <v>303</v>
      </c>
      <c r="I8" s="225">
        <f>JANUARY!AL9+FEBRUARY!AJ9+MARCH!AL9+APRIL!AK9+MAY!AL9+JUNE!AK9+JULY!AL9+AUGUST!AL9+SEPTEMBER!AK9+OCTOBER!AL9+NOVEMBER!AK9+DECEMBER!AL9</f>
        <v>11</v>
      </c>
    </row>
    <row r="9" spans="1:9" ht="46.8" x14ac:dyDescent="0.85">
      <c r="A9" s="217" t="s">
        <v>75</v>
      </c>
      <c r="B9" s="219" t="str">
        <f t="shared" si="0"/>
        <v>APRIL</v>
      </c>
      <c r="D9" s="164">
        <v>3429</v>
      </c>
      <c r="E9" s="159" t="s">
        <v>6</v>
      </c>
      <c r="F9" s="324"/>
      <c r="G9" s="160">
        <f>JANUARY!AJ10+FEBRUARY!AH10+MARCH!AJ10+APRIL!AI10+MAY!AJ10+JUNE!AI10+JULY!AJ10+AUGUST!AJ10+SEPTEMBER!AI10+OCTOBER!AJ10+NOVEMBER!AI10+DECEMBER!AJ10</f>
        <v>314</v>
      </c>
      <c r="H9" s="160">
        <f>JANUARY!AK10+FEBRUARY!AI10+MARCH!AK10+APRIL!AJ10+MAY!AK10+JUNE!AJ10+JULY!AK10+AUGUST!AK10+SEPTEMBER!AJ10+OCTOBER!AK10+NOVEMBER!AJ10+DECEMBER!AK10</f>
        <v>307</v>
      </c>
      <c r="I9" s="224">
        <f>JANUARY!AL10+FEBRUARY!AJ10+MARCH!AL10+APRIL!AK10+MAY!AL10+JUNE!AK10+JULY!AL10+AUGUST!AL10+SEPTEMBER!AK10+OCTOBER!AL10+NOVEMBER!AK10+DECEMBER!AL10</f>
        <v>7</v>
      </c>
    </row>
    <row r="10" spans="1:9" ht="46.8" x14ac:dyDescent="0.85">
      <c r="A10" s="217" t="s">
        <v>68</v>
      </c>
      <c r="B10" s="219" t="str">
        <f t="shared" si="0"/>
        <v>MAY</v>
      </c>
      <c r="D10" s="164">
        <v>3430</v>
      </c>
      <c r="E10" s="159" t="s">
        <v>7</v>
      </c>
      <c r="F10" s="324"/>
      <c r="G10" s="160">
        <f>JANUARY!AJ11+FEBRUARY!AH11+MARCH!AJ11+APRIL!AI11+MAY!AJ11+JUNE!AI11+JULY!AJ11+AUGUST!AJ11+SEPTEMBER!AI11+OCTOBER!AJ11+NOVEMBER!AI11+DECEMBER!AJ11</f>
        <v>314</v>
      </c>
      <c r="H10" s="160">
        <f>JANUARY!AK11+FEBRUARY!AI11+MARCH!AK11+APRIL!AJ11+MAY!AK11+JUNE!AJ11+JULY!AK11+AUGUST!AK11+SEPTEMBER!AJ11+OCTOBER!AK11+NOVEMBER!AJ11+DECEMBER!AK11</f>
        <v>303</v>
      </c>
      <c r="I10" s="224">
        <f>JANUARY!AL11+FEBRUARY!AJ11+MARCH!AL11+APRIL!AK11+MAY!AL11+JUNE!AK11+JULY!AL11+AUGUST!AL11+SEPTEMBER!AK11+OCTOBER!AL11+NOVEMBER!AK11+DECEMBER!AL11</f>
        <v>11</v>
      </c>
    </row>
    <row r="11" spans="1:9" ht="46.8" x14ac:dyDescent="0.85">
      <c r="A11" s="217" t="s">
        <v>76</v>
      </c>
      <c r="B11" s="219" t="str">
        <f t="shared" si="0"/>
        <v>JUNE</v>
      </c>
      <c r="D11" s="164">
        <v>3431</v>
      </c>
      <c r="E11" s="159" t="s">
        <v>8</v>
      </c>
      <c r="F11" s="324"/>
      <c r="G11" s="160">
        <f>JANUARY!AJ12+FEBRUARY!AH12+MARCH!AJ12+APRIL!AI12+MAY!AJ12+JUNE!AI12+JULY!AJ12+AUGUST!AJ12+SEPTEMBER!AI12+OCTOBER!AJ12+NOVEMBER!AI12+DECEMBER!AJ12</f>
        <v>314</v>
      </c>
      <c r="H11" s="160">
        <f>JANUARY!AK12+FEBRUARY!AI12+MARCH!AK12+APRIL!AJ12+MAY!AK12+JUNE!AJ12+JULY!AK12+AUGUST!AK12+SEPTEMBER!AJ12+OCTOBER!AK12+NOVEMBER!AJ12+DECEMBER!AK12</f>
        <v>290</v>
      </c>
      <c r="I11" s="224">
        <f>JANUARY!AL12+FEBRUARY!AJ12+MARCH!AL12+APRIL!AK12+MAY!AL12+JUNE!AK12+JULY!AL12+AUGUST!AL12+SEPTEMBER!AK12+OCTOBER!AL12+NOVEMBER!AK12+DECEMBER!AL12</f>
        <v>24</v>
      </c>
    </row>
    <row r="12" spans="1:9" ht="46.8" x14ac:dyDescent="0.85">
      <c r="A12" s="217" t="s">
        <v>77</v>
      </c>
      <c r="B12" s="219" t="str">
        <f t="shared" si="0"/>
        <v>JULY</v>
      </c>
      <c r="D12" s="164">
        <v>3432</v>
      </c>
      <c r="E12" s="159" t="s">
        <v>9</v>
      </c>
      <c r="F12" s="324"/>
      <c r="G12" s="160">
        <f>JANUARY!AJ13+FEBRUARY!AH13+MARCH!AJ13+APRIL!AI13+MAY!AJ13+JUNE!AI13+JULY!AJ13+AUGUST!AJ13+SEPTEMBER!AI13+OCTOBER!AJ13+NOVEMBER!AI13+DECEMBER!AJ13</f>
        <v>314</v>
      </c>
      <c r="H12" s="160">
        <f>JANUARY!AK13+FEBRUARY!AI13+MARCH!AK13+APRIL!AJ13+MAY!AK13+JUNE!AJ13+JULY!AK13+AUGUST!AK13+SEPTEMBER!AJ13+OCTOBER!AK13+NOVEMBER!AJ13+DECEMBER!AK13</f>
        <v>306</v>
      </c>
      <c r="I12" s="224">
        <f>JANUARY!AL13+FEBRUARY!AJ13+MARCH!AL13+APRIL!AK13+MAY!AL13+JUNE!AK13+JULY!AL13+AUGUST!AL13+SEPTEMBER!AK13+OCTOBER!AL13+NOVEMBER!AK13+DECEMBER!AL13</f>
        <v>8</v>
      </c>
    </row>
    <row r="13" spans="1:9" ht="46.8" x14ac:dyDescent="0.85">
      <c r="A13" s="217" t="s">
        <v>73</v>
      </c>
      <c r="B13" s="219" t="str">
        <f t="shared" si="0"/>
        <v>AUGUST</v>
      </c>
      <c r="D13" s="164">
        <v>3433</v>
      </c>
      <c r="E13" s="159" t="s">
        <v>10</v>
      </c>
      <c r="F13" s="324"/>
      <c r="G13" s="160">
        <f>JANUARY!AJ14+FEBRUARY!AH14+MARCH!AJ14+APRIL!AI14+MAY!AJ14+JUNE!AI14+JULY!AJ14+AUGUST!AJ14+SEPTEMBER!AI14+OCTOBER!AJ14+NOVEMBER!AI14+DECEMBER!AJ14</f>
        <v>314</v>
      </c>
      <c r="H13" s="160">
        <f>JANUARY!AK14+FEBRUARY!AI14+MARCH!AK14+APRIL!AJ14+MAY!AK14+JUNE!AJ14+JULY!AK14+AUGUST!AK14+SEPTEMBER!AJ14+OCTOBER!AK14+NOVEMBER!AJ14+DECEMBER!AK14</f>
        <v>304</v>
      </c>
      <c r="I13" s="224">
        <f>JANUARY!AL14+FEBRUARY!AJ14+MARCH!AL14+APRIL!AK14+MAY!AL14+JUNE!AK14+JULY!AL14+AUGUST!AL14+SEPTEMBER!AK14+OCTOBER!AL14+NOVEMBER!AK14+DECEMBER!AL14</f>
        <v>10</v>
      </c>
    </row>
    <row r="14" spans="1:9" ht="46.8" x14ac:dyDescent="0.85">
      <c r="A14" s="217" t="s">
        <v>79</v>
      </c>
      <c r="B14" s="219" t="str">
        <f t="shared" si="0"/>
        <v>SEPTEMBER</v>
      </c>
      <c r="D14" s="164">
        <v>3434</v>
      </c>
      <c r="E14" s="159" t="s">
        <v>11</v>
      </c>
      <c r="F14" s="324"/>
      <c r="G14" s="160">
        <f>JANUARY!AJ15+FEBRUARY!AH15+MARCH!AJ15+APRIL!AI15+MAY!AJ15+JUNE!AI15+JULY!AJ15+AUGUST!AJ15+SEPTEMBER!AI15+OCTOBER!AJ15+NOVEMBER!AI15+DECEMBER!AJ15</f>
        <v>314</v>
      </c>
      <c r="H14" s="160">
        <f>JANUARY!AK15+FEBRUARY!AI15+MARCH!AK15+APRIL!AJ15+MAY!AK15+JUNE!AJ15+JULY!AK15+AUGUST!AK15+SEPTEMBER!AJ15+OCTOBER!AK15+NOVEMBER!AJ15+DECEMBER!AK15</f>
        <v>302</v>
      </c>
      <c r="I14" s="224">
        <f>JANUARY!AL15+FEBRUARY!AJ15+MARCH!AL15+APRIL!AK15+MAY!AL15+JUNE!AK15+JULY!AL15+AUGUST!AL15+SEPTEMBER!AK15+OCTOBER!AL15+NOVEMBER!AK15+DECEMBER!AL15</f>
        <v>12</v>
      </c>
    </row>
    <row r="15" spans="1:9" ht="46.8" x14ac:dyDescent="0.85">
      <c r="A15" s="217" t="s">
        <v>121</v>
      </c>
      <c r="B15" s="219" t="str">
        <f t="shared" si="0"/>
        <v>OCTOBER</v>
      </c>
      <c r="D15" s="164">
        <v>3435</v>
      </c>
      <c r="E15" s="159" t="s">
        <v>12</v>
      </c>
      <c r="F15" s="324"/>
      <c r="G15" s="160">
        <f>JANUARY!AJ16+FEBRUARY!AH16+MARCH!AJ16+APRIL!AI16+MAY!AJ16+JUNE!AI16+JULY!AJ16+AUGUST!AJ16+SEPTEMBER!AI16+OCTOBER!AJ16+NOVEMBER!AI16+DECEMBER!AJ16</f>
        <v>314</v>
      </c>
      <c r="H15" s="160">
        <f>JANUARY!AK16+FEBRUARY!AI16+MARCH!AK16+APRIL!AJ16+MAY!AK16+JUNE!AJ16+JULY!AK16+AUGUST!AK16+SEPTEMBER!AJ16+OCTOBER!AK16+NOVEMBER!AJ16+DECEMBER!AK16</f>
        <v>302</v>
      </c>
      <c r="I15" s="224">
        <f>JANUARY!AL16+FEBRUARY!AJ16+MARCH!AL16+APRIL!AK16+MAY!AL16+JUNE!AK16+JULY!AL16+AUGUST!AL16+SEPTEMBER!AK16+OCTOBER!AL16+NOVEMBER!AK16+DECEMBER!AL16</f>
        <v>12</v>
      </c>
    </row>
    <row r="16" spans="1:9" ht="46.8" x14ac:dyDescent="0.85">
      <c r="A16" s="217" t="s">
        <v>78</v>
      </c>
      <c r="B16" s="219" t="str">
        <f t="shared" si="0"/>
        <v>NOVEMBER</v>
      </c>
      <c r="D16" s="164">
        <v>3436</v>
      </c>
      <c r="E16" s="159" t="s">
        <v>13</v>
      </c>
      <c r="F16" s="324"/>
      <c r="G16" s="160">
        <f>JANUARY!AJ17+FEBRUARY!AH17+MARCH!AJ17+APRIL!AI17+MAY!AJ17+JUNE!AI17+JULY!AJ17+AUGUST!AJ17+SEPTEMBER!AI17+OCTOBER!AJ17+NOVEMBER!AI17+DECEMBER!AJ17</f>
        <v>314</v>
      </c>
      <c r="H16" s="160">
        <f>JANUARY!AK17+FEBRUARY!AI17+MARCH!AK17+APRIL!AJ17+MAY!AK17+JUNE!AJ17+JULY!AK17+AUGUST!AK17+SEPTEMBER!AJ17+OCTOBER!AK17+NOVEMBER!AJ17+DECEMBER!AK17</f>
        <v>300</v>
      </c>
      <c r="I16" s="224">
        <f>JANUARY!AL17+FEBRUARY!AJ17+MARCH!AL17+APRIL!AK17+MAY!AL17+JUNE!AK17+JULY!AL17+AUGUST!AL17+SEPTEMBER!AK17+OCTOBER!AL17+NOVEMBER!AK17+DECEMBER!AL17</f>
        <v>14</v>
      </c>
    </row>
    <row r="17" spans="1:9" ht="47.4" thickBot="1" x14ac:dyDescent="0.9">
      <c r="A17" s="218" t="s">
        <v>80</v>
      </c>
      <c r="B17" s="220" t="str">
        <f t="shared" si="0"/>
        <v>DECEMBER</v>
      </c>
      <c r="D17" s="164">
        <v>3437</v>
      </c>
      <c r="E17" s="159" t="s">
        <v>14</v>
      </c>
      <c r="F17" s="324"/>
      <c r="G17" s="160">
        <f>JANUARY!AJ18+FEBRUARY!AH18+MARCH!AJ18+APRIL!AI18+MAY!AJ18+JUNE!AI18+JULY!AJ18+AUGUST!AJ18+SEPTEMBER!AI18+OCTOBER!AJ18+NOVEMBER!AI18+DECEMBER!AJ18</f>
        <v>314</v>
      </c>
      <c r="H17" s="160">
        <f>JANUARY!AK18+FEBRUARY!AI18+MARCH!AK18+APRIL!AJ18+MAY!AK18+JUNE!AJ18+JULY!AK18+AUGUST!AK18+SEPTEMBER!AJ18+OCTOBER!AK18+NOVEMBER!AJ18+DECEMBER!AK18</f>
        <v>305</v>
      </c>
      <c r="I17" s="224">
        <f>JANUARY!AL18+FEBRUARY!AJ18+MARCH!AL18+APRIL!AK18+MAY!AL18+JUNE!AK18+JULY!AL18+AUGUST!AL18+SEPTEMBER!AK18+OCTOBER!AL18+NOVEMBER!AK18+DECEMBER!AL18</f>
        <v>9</v>
      </c>
    </row>
    <row r="18" spans="1:9" ht="46.2" x14ac:dyDescent="0.75">
      <c r="D18" s="164">
        <v>3438</v>
      </c>
      <c r="E18" s="159" t="s">
        <v>15</v>
      </c>
      <c r="F18" s="324"/>
      <c r="G18" s="160">
        <f>JANUARY!AJ19+FEBRUARY!AH19+MARCH!AJ19+APRIL!AI19+MAY!AJ19+JUNE!AI19+JULY!AJ19+AUGUST!AJ19+SEPTEMBER!AI19+OCTOBER!AJ19+NOVEMBER!AI19+DECEMBER!AJ19</f>
        <v>314</v>
      </c>
      <c r="H18" s="160">
        <f>JANUARY!AK19+FEBRUARY!AI19+MARCH!AK19+APRIL!AJ19+MAY!AK19+JUNE!AJ19+JULY!AK19+AUGUST!AK19+SEPTEMBER!AJ19+OCTOBER!AK19+NOVEMBER!AJ19+DECEMBER!AK19</f>
        <v>307</v>
      </c>
      <c r="I18" s="224">
        <f>JANUARY!AL19+FEBRUARY!AJ19+MARCH!AL19+APRIL!AK19+MAY!AL19+JUNE!AK19+JULY!AL19+AUGUST!AL19+SEPTEMBER!AK19+OCTOBER!AL19+NOVEMBER!AK19+DECEMBER!AL19</f>
        <v>7</v>
      </c>
    </row>
    <row r="19" spans="1:9" ht="46.2" x14ac:dyDescent="0.75">
      <c r="D19" s="164">
        <v>3439</v>
      </c>
      <c r="E19" s="159" t="s">
        <v>16</v>
      </c>
      <c r="F19" s="324"/>
      <c r="G19" s="160">
        <f>JANUARY!AJ20+FEBRUARY!AH20+MARCH!AJ20+APRIL!AI20+MAY!AJ20+JUNE!AI20+JULY!AJ20+AUGUST!AJ20+SEPTEMBER!AI20+OCTOBER!AJ20+NOVEMBER!AI20+DECEMBER!AJ20</f>
        <v>314</v>
      </c>
      <c r="H19" s="160">
        <f>JANUARY!AK20+FEBRUARY!AI20+MARCH!AK20+APRIL!AJ20+MAY!AK20+JUNE!AJ20+JULY!AK20+AUGUST!AK20+SEPTEMBER!AJ20+OCTOBER!AK20+NOVEMBER!AJ20+DECEMBER!AK20</f>
        <v>300</v>
      </c>
      <c r="I19" s="224">
        <f>JANUARY!AL20+FEBRUARY!AJ20+MARCH!AL20+APRIL!AK20+MAY!AL20+JUNE!AK20+JULY!AL20+AUGUST!AL20+SEPTEMBER!AK20+OCTOBER!AL20+NOVEMBER!AK20+DECEMBER!AL20</f>
        <v>14</v>
      </c>
    </row>
    <row r="20" spans="1:9" ht="46.2" x14ac:dyDescent="0.75">
      <c r="D20" s="164">
        <v>3440</v>
      </c>
      <c r="E20" s="159" t="s">
        <v>17</v>
      </c>
      <c r="F20" s="324"/>
      <c r="G20" s="160">
        <f>JANUARY!AJ21+FEBRUARY!AH21+MARCH!AJ21+APRIL!AI21+MAY!AJ21+JUNE!AI21+JULY!AJ21+AUGUST!AJ21+SEPTEMBER!AI21+OCTOBER!AJ21+NOVEMBER!AI21+DECEMBER!AJ21</f>
        <v>314</v>
      </c>
      <c r="H20" s="160">
        <f>JANUARY!AK21+FEBRUARY!AI21+MARCH!AK21+APRIL!AJ21+MAY!AK21+JUNE!AJ21+JULY!AK21+AUGUST!AK21+SEPTEMBER!AJ21+OCTOBER!AK21+NOVEMBER!AJ21+DECEMBER!AK21</f>
        <v>309</v>
      </c>
      <c r="I20" s="224">
        <f>JANUARY!AL21+FEBRUARY!AJ21+MARCH!AL21+APRIL!AK21+MAY!AL21+JUNE!AK21+JULY!AL21+AUGUST!AL21+SEPTEMBER!AK21+OCTOBER!AL21+NOVEMBER!AK21+DECEMBER!AL21</f>
        <v>5</v>
      </c>
    </row>
    <row r="21" spans="1:9" ht="46.2" x14ac:dyDescent="0.75">
      <c r="D21" s="164">
        <v>3441</v>
      </c>
      <c r="E21" s="159" t="s">
        <v>18</v>
      </c>
      <c r="F21" s="324"/>
      <c r="G21" s="160">
        <f>JANUARY!AJ22+FEBRUARY!AH22+MARCH!AJ22+APRIL!AI22+MAY!AJ22+JUNE!AI22+JULY!AJ22+AUGUST!AJ22+SEPTEMBER!AI22+OCTOBER!AJ22+NOVEMBER!AI22+DECEMBER!AJ22</f>
        <v>313</v>
      </c>
      <c r="H21" s="160">
        <f>JANUARY!AK22+FEBRUARY!AI22+MARCH!AK22+APRIL!AJ22+MAY!AK22+JUNE!AJ22+JULY!AK22+AUGUST!AK22+SEPTEMBER!AJ22+OCTOBER!AK22+NOVEMBER!AJ22+DECEMBER!AK22</f>
        <v>306</v>
      </c>
      <c r="I21" s="224">
        <f>JANUARY!AL22+FEBRUARY!AJ22+MARCH!AL22+APRIL!AK22+MAY!AL22+JUNE!AK22+JULY!AL22+AUGUST!AL22+SEPTEMBER!AK22+OCTOBER!AL22+NOVEMBER!AK22+DECEMBER!AL22</f>
        <v>7</v>
      </c>
    </row>
    <row r="22" spans="1:9" ht="46.2" x14ac:dyDescent="0.75">
      <c r="D22" s="164">
        <v>3442</v>
      </c>
      <c r="E22" s="159" t="s">
        <v>19</v>
      </c>
      <c r="F22" s="324"/>
      <c r="G22" s="160">
        <f>JANUARY!AJ23+FEBRUARY!AH23+MARCH!AJ23+APRIL!AI23+MAY!AJ23+JUNE!AI23+JULY!AJ23+AUGUST!AJ23+SEPTEMBER!AI23+OCTOBER!AJ23+NOVEMBER!AI23+DECEMBER!AJ23</f>
        <v>314</v>
      </c>
      <c r="H22" s="160">
        <f>JANUARY!AK23+FEBRUARY!AI23+MARCH!AK23+APRIL!AJ23+MAY!AK23+JUNE!AJ23+JULY!AK23+AUGUST!AK23+SEPTEMBER!AJ23+OCTOBER!AK23+NOVEMBER!AJ23+DECEMBER!AK23</f>
        <v>302</v>
      </c>
      <c r="I22" s="224">
        <f>JANUARY!AL23+FEBRUARY!AJ23+MARCH!AL23+APRIL!AK23+MAY!AL23+JUNE!AK23+JULY!AL23+AUGUST!AL23+SEPTEMBER!AK23+OCTOBER!AL23+NOVEMBER!AK23+DECEMBER!AL23</f>
        <v>12</v>
      </c>
    </row>
    <row r="23" spans="1:9" ht="46.2" x14ac:dyDescent="0.75">
      <c r="D23" s="164">
        <v>3443</v>
      </c>
      <c r="E23" s="159" t="s">
        <v>20</v>
      </c>
      <c r="F23" s="324"/>
      <c r="G23" s="160">
        <f>JANUARY!AJ24+FEBRUARY!AH24+MARCH!AJ24+APRIL!AI24+MAY!AJ24+JUNE!AI24+JULY!AJ24+AUGUST!AJ24+SEPTEMBER!AI24+OCTOBER!AJ24+NOVEMBER!AI24+DECEMBER!AJ24</f>
        <v>313</v>
      </c>
      <c r="H23" s="160">
        <f>JANUARY!AK24+FEBRUARY!AI24+MARCH!AK24+APRIL!AJ24+MAY!AK24+JUNE!AJ24+JULY!AK24+AUGUST!AK24+SEPTEMBER!AJ24+OCTOBER!AK24+NOVEMBER!AJ24+DECEMBER!AK24</f>
        <v>303</v>
      </c>
      <c r="I23" s="224">
        <f>JANUARY!AL24+FEBRUARY!AJ24+MARCH!AL24+APRIL!AK24+MAY!AL24+JUNE!AK24+JULY!AL24+AUGUST!AL24+SEPTEMBER!AK24+OCTOBER!AL24+NOVEMBER!AK24+DECEMBER!AL24</f>
        <v>10</v>
      </c>
    </row>
    <row r="24" spans="1:9" ht="46.2" x14ac:dyDescent="0.75">
      <c r="D24" s="164">
        <v>3444</v>
      </c>
      <c r="E24" s="159" t="s">
        <v>21</v>
      </c>
      <c r="F24" s="324"/>
      <c r="G24" s="160">
        <f>JANUARY!AJ25+FEBRUARY!AH25+MARCH!AJ25+APRIL!AI25+MAY!AJ25+JUNE!AI25+JULY!AJ25+AUGUST!AJ25+SEPTEMBER!AI25+OCTOBER!AJ25+NOVEMBER!AI25+DECEMBER!AJ25</f>
        <v>314</v>
      </c>
      <c r="H24" s="160">
        <f>JANUARY!AK25+FEBRUARY!AI25+MARCH!AK25+APRIL!AJ25+MAY!AK25+JUNE!AJ25+JULY!AK25+AUGUST!AK25+SEPTEMBER!AJ25+OCTOBER!AK25+NOVEMBER!AJ25+DECEMBER!AK25</f>
        <v>308</v>
      </c>
      <c r="I24" s="224">
        <f>JANUARY!AL25+FEBRUARY!AJ25+MARCH!AL25+APRIL!AK25+MAY!AL25+JUNE!AK25+JULY!AL25+AUGUST!AL25+SEPTEMBER!AK25+OCTOBER!AL25+NOVEMBER!AK25+DECEMBER!AL25</f>
        <v>6</v>
      </c>
    </row>
    <row r="25" spans="1:9" ht="46.2" x14ac:dyDescent="0.75">
      <c r="D25" s="164">
        <v>3445</v>
      </c>
      <c r="E25" s="159" t="s">
        <v>22</v>
      </c>
      <c r="F25" s="324"/>
      <c r="G25" s="160">
        <f>JANUARY!AJ26+FEBRUARY!AH26+MARCH!AJ26+APRIL!AI26+MAY!AJ26+JUNE!AI26+JULY!AJ26+AUGUST!AJ26+SEPTEMBER!AI26+OCTOBER!AJ26+NOVEMBER!AI26+DECEMBER!AJ26</f>
        <v>314</v>
      </c>
      <c r="H25" s="160">
        <f>JANUARY!AK26+FEBRUARY!AI26+MARCH!AK26+APRIL!AJ26+MAY!AK26+JUNE!AJ26+JULY!AK26+AUGUST!AK26+SEPTEMBER!AJ26+OCTOBER!AK26+NOVEMBER!AJ26+DECEMBER!AK26</f>
        <v>313</v>
      </c>
      <c r="I25" s="224">
        <f>JANUARY!AL26+FEBRUARY!AJ26+MARCH!AL26+APRIL!AK26+MAY!AL26+JUNE!AK26+JULY!AL26+AUGUST!AL26+SEPTEMBER!AK26+OCTOBER!AL26+NOVEMBER!AK26+DECEMBER!AL26</f>
        <v>1</v>
      </c>
    </row>
    <row r="26" spans="1:9" ht="46.8" thickBot="1" x14ac:dyDescent="0.8">
      <c r="D26" s="226">
        <v>3446</v>
      </c>
      <c r="E26" s="227" t="s">
        <v>23</v>
      </c>
      <c r="F26" s="325"/>
      <c r="G26" s="228">
        <f>JANUARY!AJ27+FEBRUARY!AH27+MARCH!AJ27+APRIL!AI27+MAY!AJ27+JUNE!AI27+JULY!AJ27+AUGUST!AJ27+SEPTEMBER!AI27+OCTOBER!AJ27+NOVEMBER!AI27+DECEMBER!AJ27</f>
        <v>314</v>
      </c>
      <c r="H26" s="228">
        <f>JANUARY!AK27+FEBRUARY!AI27+MARCH!AK27+APRIL!AJ27+MAY!AK27+JUNE!AJ27+JULY!AK27+AUGUST!AK27+SEPTEMBER!AJ27+OCTOBER!AK27+NOVEMBER!AJ27+DECEMBER!AK27</f>
        <v>313</v>
      </c>
      <c r="I26" s="229">
        <f>JANUARY!AL27+FEBRUARY!AJ27+MARCH!AL27+APRIL!AK27+MAY!AL27+JUNE!AK27+JULY!AL27+AUGUST!AL27+SEPTEMBER!AK27+OCTOBER!AL27+NOVEMBER!AK27+DECEMBER!AL27</f>
        <v>1</v>
      </c>
    </row>
    <row r="27" spans="1:9" ht="6.75" customHeight="1" thickBot="1" x14ac:dyDescent="0.35">
      <c r="D27" s="221"/>
      <c r="E27" s="222"/>
      <c r="F27" s="222"/>
      <c r="G27" s="222"/>
      <c r="H27" s="222"/>
      <c r="I27" s="223"/>
    </row>
    <row r="37" spans="4:4" x14ac:dyDescent="0.3">
      <c r="D37" s="76"/>
    </row>
  </sheetData>
  <autoFilter ref="D5:E26" xr:uid="{00000000-0009-0000-0000-000011000000}"/>
  <mergeCells count="8">
    <mergeCell ref="D4:I4"/>
    <mergeCell ref="A5:B5"/>
    <mergeCell ref="D5:D6"/>
    <mergeCell ref="E5:E6"/>
    <mergeCell ref="G5:G6"/>
    <mergeCell ref="H5:H6"/>
    <mergeCell ref="I5:I6"/>
    <mergeCell ref="F5:F26"/>
  </mergeCells>
  <conditionalFormatting sqref="F5:I5 G6:I6">
    <cfRule type="notContainsBlanks" dxfId="2" priority="2">
      <formula>LEN(TRIM(F5))&gt;0</formula>
    </cfRule>
    <cfRule type="notContainsBlanks" dxfId="1" priority="3">
      <formula>LEN(TRIM(F5))&gt;0</formula>
    </cfRule>
  </conditionalFormatting>
  <conditionalFormatting sqref="F5:I5 G6:I26">
    <cfRule type="expression" dxfId="0" priority="4">
      <formula>F$5&lt;&gt;""</formula>
    </cfRule>
  </conditionalFormatting>
  <dataValidations count="1">
    <dataValidation type="custom" allowBlank="1" showInputMessage="1" showErrorMessage="1" errorTitle="Info" error="Week Off" sqref="F5 G5:I26" xr:uid="{00000000-0002-0000-1100-000000000000}">
      <formula1>F$5&lt;&gt;""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N7"/>
  <sheetViews>
    <sheetView showGridLines="0" zoomScale="40" zoomScaleNormal="40" workbookViewId="0">
      <selection activeCell="H4" sqref="H4"/>
    </sheetView>
  </sheetViews>
  <sheetFormatPr defaultColWidth="9.109375" defaultRowHeight="14.4" x14ac:dyDescent="0.3"/>
  <cols>
    <col min="1" max="1" width="27.5546875" customWidth="1"/>
    <col min="2" max="2" width="13.88671875" customWidth="1"/>
    <col min="3" max="3" width="28.5546875" bestFit="1" customWidth="1"/>
    <col min="4" max="4" width="24" bestFit="1" customWidth="1"/>
    <col min="5" max="5" width="28" bestFit="1" customWidth="1"/>
    <col min="6" max="6" width="20.44140625" bestFit="1" customWidth="1"/>
    <col min="7" max="7" width="27" bestFit="1" customWidth="1"/>
    <col min="8" max="8" width="59.5546875" bestFit="1" customWidth="1"/>
    <col min="9" max="9" width="13.6640625" customWidth="1"/>
    <col min="10" max="10" width="25.6640625" bestFit="1" customWidth="1"/>
    <col min="11" max="11" width="34" bestFit="1" customWidth="1"/>
    <col min="12" max="12" width="47.5546875" bestFit="1" customWidth="1"/>
    <col min="13" max="13" width="16.33203125" customWidth="1"/>
    <col min="14" max="14" width="24.109375" bestFit="1" customWidth="1"/>
  </cols>
  <sheetData>
    <row r="1" spans="1:14" ht="15" thickBot="1" x14ac:dyDescent="0.35"/>
    <row r="2" spans="1:14" ht="46.2" x14ac:dyDescent="0.85">
      <c r="A2" s="205" t="str">
        <f>HYPERLINK("#'Table Of contents'!B11","GO TO TOC SHEET")</f>
        <v>GO TO TOC SHEET</v>
      </c>
      <c r="C2" s="264" t="s">
        <v>96</v>
      </c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6"/>
    </row>
    <row r="3" spans="1:14" s="89" customFormat="1" ht="87" customHeight="1" x14ac:dyDescent="0.6">
      <c r="C3" s="93" t="s">
        <v>2</v>
      </c>
      <c r="D3" s="90" t="s">
        <v>3</v>
      </c>
      <c r="E3" s="90" t="s">
        <v>27</v>
      </c>
      <c r="F3" s="90" t="s">
        <v>28</v>
      </c>
      <c r="G3" s="90" t="s">
        <v>120</v>
      </c>
      <c r="H3" s="91" t="s">
        <v>98</v>
      </c>
      <c r="I3" s="92" t="s">
        <v>101</v>
      </c>
      <c r="J3" s="92" t="s">
        <v>105</v>
      </c>
      <c r="K3" s="92" t="s">
        <v>104</v>
      </c>
      <c r="L3" s="91" t="s">
        <v>97</v>
      </c>
      <c r="M3" s="92" t="s">
        <v>102</v>
      </c>
      <c r="N3" s="94" t="s">
        <v>103</v>
      </c>
    </row>
    <row r="4" spans="1:14" ht="31.2" x14ac:dyDescent="0.6">
      <c r="C4" s="82">
        <v>3427</v>
      </c>
      <c r="D4" s="83" t="s">
        <v>4</v>
      </c>
      <c r="E4" s="83" t="s">
        <v>33</v>
      </c>
      <c r="F4" s="83" t="s">
        <v>34</v>
      </c>
      <c r="G4" s="83">
        <v>60910</v>
      </c>
      <c r="H4" s="83">
        <f>0.2*G4</f>
        <v>12182</v>
      </c>
      <c r="I4" s="83">
        <f>G4*10%</f>
        <v>6091</v>
      </c>
      <c r="J4" s="83">
        <f>G4*10%</f>
        <v>6091</v>
      </c>
      <c r="K4" s="83">
        <f>G4+H4+I4+J4</f>
        <v>85274</v>
      </c>
      <c r="L4" s="83">
        <f>G4*12%</f>
        <v>7309.2</v>
      </c>
      <c r="M4" s="83">
        <f>G4*5%</f>
        <v>3045.5</v>
      </c>
      <c r="N4" s="95">
        <f>K4-L4-M4</f>
        <v>74919.3</v>
      </c>
    </row>
    <row r="5" spans="1:14" ht="31.2" x14ac:dyDescent="0.6">
      <c r="C5" s="82">
        <v>3432</v>
      </c>
      <c r="D5" s="83" t="s">
        <v>9</v>
      </c>
      <c r="E5" s="83" t="s">
        <v>33</v>
      </c>
      <c r="F5" s="83" t="s">
        <v>34</v>
      </c>
      <c r="G5" s="83">
        <v>67746</v>
      </c>
      <c r="H5" s="83">
        <f t="shared" ref="H5:H7" si="0">0.2*G5</f>
        <v>13549.2</v>
      </c>
      <c r="I5" s="83">
        <f>G5*10%</f>
        <v>6774.6</v>
      </c>
      <c r="J5" s="83">
        <f t="shared" ref="J5:J7" si="1">G5*10%</f>
        <v>6774.6</v>
      </c>
      <c r="K5" s="83">
        <f t="shared" ref="K5:K7" si="2">G5+H5+I5+J5</f>
        <v>94844.400000000009</v>
      </c>
      <c r="L5" s="83">
        <f t="shared" ref="L5:L7" si="3">G5*12%</f>
        <v>8129.5199999999995</v>
      </c>
      <c r="M5" s="83">
        <f t="shared" ref="M5:M7" si="4">G5*5%</f>
        <v>3387.3</v>
      </c>
      <c r="N5" s="95">
        <f t="shared" ref="N5:N7" si="5">K5-L5-M5</f>
        <v>83327.58</v>
      </c>
    </row>
    <row r="6" spans="1:14" ht="31.2" x14ac:dyDescent="0.6">
      <c r="C6" s="82">
        <v>3437</v>
      </c>
      <c r="D6" s="83" t="s">
        <v>14</v>
      </c>
      <c r="E6" s="83" t="s">
        <v>33</v>
      </c>
      <c r="F6" s="83" t="s">
        <v>34</v>
      </c>
      <c r="G6" s="83">
        <v>39252</v>
      </c>
      <c r="H6" s="83">
        <f t="shared" si="0"/>
        <v>7850.4000000000005</v>
      </c>
      <c r="I6" s="83">
        <f>G6*10%</f>
        <v>3925.2000000000003</v>
      </c>
      <c r="J6" s="83">
        <f t="shared" si="1"/>
        <v>3925.2000000000003</v>
      </c>
      <c r="K6" s="83">
        <f t="shared" si="2"/>
        <v>54952.799999999996</v>
      </c>
      <c r="L6" s="83">
        <f t="shared" si="3"/>
        <v>4710.24</v>
      </c>
      <c r="M6" s="83">
        <f t="shared" si="4"/>
        <v>1962.6000000000001</v>
      </c>
      <c r="N6" s="95">
        <f t="shared" si="5"/>
        <v>48279.96</v>
      </c>
    </row>
    <row r="7" spans="1:14" ht="31.8" thickBot="1" x14ac:dyDescent="0.65">
      <c r="C7" s="84">
        <v>3442</v>
      </c>
      <c r="D7" s="85" t="s">
        <v>19</v>
      </c>
      <c r="E7" s="85" t="s">
        <v>33</v>
      </c>
      <c r="F7" s="85" t="s">
        <v>34</v>
      </c>
      <c r="G7" s="85">
        <v>44515</v>
      </c>
      <c r="H7" s="85">
        <f t="shared" si="0"/>
        <v>8903</v>
      </c>
      <c r="I7" s="85">
        <f>G7*10%</f>
        <v>4451.5</v>
      </c>
      <c r="J7" s="85">
        <f t="shared" si="1"/>
        <v>4451.5</v>
      </c>
      <c r="K7" s="85">
        <f t="shared" si="2"/>
        <v>62321</v>
      </c>
      <c r="L7" s="85">
        <f t="shared" si="3"/>
        <v>5341.8</v>
      </c>
      <c r="M7" s="85">
        <f t="shared" si="4"/>
        <v>2225.75</v>
      </c>
      <c r="N7" s="96">
        <f t="shared" si="5"/>
        <v>54753.45</v>
      </c>
    </row>
  </sheetData>
  <mergeCells count="1">
    <mergeCell ref="C2:N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N12"/>
  <sheetViews>
    <sheetView showGridLines="0" zoomScale="50" zoomScaleNormal="50" workbookViewId="0">
      <selection activeCell="A2" sqref="A2"/>
    </sheetView>
  </sheetViews>
  <sheetFormatPr defaultColWidth="9.109375" defaultRowHeight="14.4" x14ac:dyDescent="0.3"/>
  <cols>
    <col min="1" max="1" width="41" customWidth="1"/>
    <col min="2" max="2" width="25.88671875" bestFit="1" customWidth="1"/>
    <col min="3" max="3" width="28.109375" bestFit="1" customWidth="1"/>
    <col min="4" max="4" width="22.109375" bestFit="1" customWidth="1"/>
    <col min="5" max="5" width="24.33203125" customWidth="1"/>
    <col min="6" max="6" width="38.44140625" customWidth="1"/>
    <col min="7" max="7" width="25.33203125" bestFit="1" customWidth="1"/>
    <col min="8" max="8" width="22.109375" bestFit="1" customWidth="1"/>
    <col min="9" max="9" width="23" bestFit="1" customWidth="1"/>
    <col min="10" max="10" width="33.33203125" bestFit="1" customWidth="1"/>
    <col min="11" max="11" width="24.33203125" customWidth="1"/>
    <col min="12" max="13" width="10.6640625" bestFit="1" customWidth="1"/>
    <col min="14" max="14" width="21.88671875" customWidth="1"/>
    <col min="15" max="15" width="3.6640625" customWidth="1"/>
    <col min="16" max="17" width="8.109375" bestFit="1" customWidth="1"/>
    <col min="18" max="18" width="14.5546875" bestFit="1" customWidth="1"/>
  </cols>
  <sheetData>
    <row r="1" spans="1:14" ht="15" thickBot="1" x14ac:dyDescent="0.35"/>
    <row r="2" spans="1:14" s="88" customFormat="1" ht="36.6" x14ac:dyDescent="0.4">
      <c r="A2" s="201" t="str">
        <f>HYPERLINK("#'Table Of contents'!B11","GO TO TOC SHEET")</f>
        <v>GO TO TOC SHEET</v>
      </c>
      <c r="B2" s="326" t="s">
        <v>86</v>
      </c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8"/>
    </row>
    <row r="3" spans="1:14" s="131" customFormat="1" ht="42" customHeight="1" x14ac:dyDescent="0.55000000000000004">
      <c r="B3" s="133" t="s">
        <v>2</v>
      </c>
      <c r="C3" s="134" t="s">
        <v>3</v>
      </c>
      <c r="D3" s="134" t="s">
        <v>24</v>
      </c>
      <c r="E3" s="134" t="s">
        <v>27</v>
      </c>
      <c r="F3" s="134" t="s">
        <v>28</v>
      </c>
      <c r="G3" s="135" t="s">
        <v>108</v>
      </c>
      <c r="H3" s="136" t="s">
        <v>95</v>
      </c>
      <c r="I3" s="136" t="s">
        <v>101</v>
      </c>
      <c r="J3" s="136" t="s">
        <v>109</v>
      </c>
      <c r="K3" s="136" t="s">
        <v>106</v>
      </c>
      <c r="L3" s="136" t="s">
        <v>94</v>
      </c>
      <c r="M3" s="136" t="s">
        <v>107</v>
      </c>
      <c r="N3" s="137" t="s">
        <v>103</v>
      </c>
    </row>
    <row r="4" spans="1:14" ht="25.8" x14ac:dyDescent="0.3">
      <c r="B4" s="138">
        <v>3429</v>
      </c>
      <c r="C4" s="139" t="s">
        <v>6</v>
      </c>
      <c r="D4" s="139" t="s">
        <v>40</v>
      </c>
      <c r="E4" s="139" t="s">
        <v>41</v>
      </c>
      <c r="F4" s="139" t="s">
        <v>42</v>
      </c>
      <c r="G4" s="140">
        <v>34422</v>
      </c>
      <c r="H4" s="140">
        <v>7884.4000000000005</v>
      </c>
      <c r="I4" s="140">
        <v>3942.2000000000003</v>
      </c>
      <c r="J4" s="140">
        <f>G4*10%</f>
        <v>3442.2000000000003</v>
      </c>
      <c r="K4" s="140">
        <f>G4+H4+I4+J4</f>
        <v>49690.799999999996</v>
      </c>
      <c r="L4" s="140">
        <f>G4*12%</f>
        <v>4130.6399999999994</v>
      </c>
      <c r="M4" s="140">
        <f>G4*5%</f>
        <v>1721.1000000000001</v>
      </c>
      <c r="N4" s="141">
        <f>K4-L4-M4</f>
        <v>43839.06</v>
      </c>
    </row>
    <row r="5" spans="1:14" ht="25.8" x14ac:dyDescent="0.3">
      <c r="B5" s="138">
        <v>3434</v>
      </c>
      <c r="C5" s="139" t="s">
        <v>11</v>
      </c>
      <c r="D5" s="139" t="s">
        <v>51</v>
      </c>
      <c r="E5" s="139" t="s">
        <v>41</v>
      </c>
      <c r="F5" s="139" t="s">
        <v>42</v>
      </c>
      <c r="G5" s="140">
        <v>41578</v>
      </c>
      <c r="H5" s="140">
        <v>8315.6</v>
      </c>
      <c r="I5" s="140">
        <v>4157.8</v>
      </c>
      <c r="J5" s="140">
        <f t="shared" ref="J5:J7" si="0">G5*10%</f>
        <v>4157.8</v>
      </c>
      <c r="K5" s="140">
        <f t="shared" ref="K5:K7" si="1">G5+H5+I5+J5</f>
        <v>58209.200000000004</v>
      </c>
      <c r="L5" s="140">
        <f t="shared" ref="L5:L7" si="2">G5*12%</f>
        <v>4989.3599999999997</v>
      </c>
      <c r="M5" s="140">
        <f t="shared" ref="M5:M7" si="3">G5*5%</f>
        <v>2078.9</v>
      </c>
      <c r="N5" s="141">
        <f t="shared" ref="N5:N7" si="4">K5-L5-M5</f>
        <v>51140.94</v>
      </c>
    </row>
    <row r="6" spans="1:14" ht="25.8" x14ac:dyDescent="0.3">
      <c r="B6" s="138">
        <v>3439</v>
      </c>
      <c r="C6" s="139" t="s">
        <v>16</v>
      </c>
      <c r="D6" s="139" t="s">
        <v>56</v>
      </c>
      <c r="E6" s="139" t="s">
        <v>41</v>
      </c>
      <c r="F6" s="139" t="s">
        <v>42</v>
      </c>
      <c r="G6" s="140">
        <v>66588</v>
      </c>
      <c r="H6" s="140">
        <v>13317.6</v>
      </c>
      <c r="I6" s="140">
        <v>6658.8</v>
      </c>
      <c r="J6" s="140">
        <f t="shared" si="0"/>
        <v>6658.8</v>
      </c>
      <c r="K6" s="140">
        <f t="shared" si="1"/>
        <v>93223.200000000012</v>
      </c>
      <c r="L6" s="140">
        <f t="shared" si="2"/>
        <v>7990.5599999999995</v>
      </c>
      <c r="M6" s="140">
        <f t="shared" si="3"/>
        <v>3329.4</v>
      </c>
      <c r="N6" s="141">
        <f t="shared" si="4"/>
        <v>81903.24000000002</v>
      </c>
    </row>
    <row r="7" spans="1:14" ht="26.4" thickBot="1" x14ac:dyDescent="0.35">
      <c r="B7" s="142">
        <v>3444</v>
      </c>
      <c r="C7" s="143" t="s">
        <v>21</v>
      </c>
      <c r="D7" s="143" t="s">
        <v>61</v>
      </c>
      <c r="E7" s="143" t="s">
        <v>41</v>
      </c>
      <c r="F7" s="143" t="s">
        <v>42</v>
      </c>
      <c r="G7" s="144">
        <v>52923</v>
      </c>
      <c r="H7" s="144">
        <v>10584.6</v>
      </c>
      <c r="I7" s="144">
        <v>5292.3</v>
      </c>
      <c r="J7" s="144">
        <f t="shared" si="0"/>
        <v>5292.3</v>
      </c>
      <c r="K7" s="144">
        <f t="shared" si="1"/>
        <v>74092.2</v>
      </c>
      <c r="L7" s="144">
        <f t="shared" si="2"/>
        <v>6350.76</v>
      </c>
      <c r="M7" s="144">
        <f t="shared" si="3"/>
        <v>2646.15</v>
      </c>
      <c r="N7" s="145">
        <f t="shared" si="4"/>
        <v>65095.29</v>
      </c>
    </row>
    <row r="12" spans="1:14" ht="15.6" x14ac:dyDescent="0.3">
      <c r="C12" s="123"/>
    </row>
  </sheetData>
  <mergeCells count="1">
    <mergeCell ref="B2:N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M7"/>
  <sheetViews>
    <sheetView showGridLines="0" zoomScale="50" zoomScaleNormal="50" workbookViewId="0">
      <selection activeCell="R6" sqref="R6"/>
    </sheetView>
  </sheetViews>
  <sheetFormatPr defaultRowHeight="14.4" x14ac:dyDescent="0.3"/>
  <cols>
    <col min="1" max="1" width="30.5546875" customWidth="1"/>
    <col min="2" max="2" width="29.6640625" bestFit="1" customWidth="1"/>
    <col min="3" max="3" width="24.88671875" bestFit="1" customWidth="1"/>
    <col min="4" max="4" width="24.109375" bestFit="1" customWidth="1"/>
    <col min="5" max="5" width="17.5546875" bestFit="1" customWidth="1"/>
    <col min="6" max="6" width="24" customWidth="1"/>
    <col min="7" max="7" width="31.6640625" customWidth="1"/>
    <col min="8" max="8" width="28.109375" customWidth="1"/>
    <col min="9" max="9" width="23.88671875" customWidth="1"/>
    <col min="10" max="10" width="28.109375" customWidth="1"/>
    <col min="11" max="11" width="24.88671875" bestFit="1" customWidth="1"/>
    <col min="12" max="12" width="20.6640625" customWidth="1"/>
    <col min="13" max="13" width="26.44140625" customWidth="1"/>
  </cols>
  <sheetData>
    <row r="1" spans="1:13" ht="15" thickBot="1" x14ac:dyDescent="0.35"/>
    <row r="2" spans="1:13" ht="33.6" x14ac:dyDescent="0.35">
      <c r="A2" s="204" t="str">
        <f>HYPERLINK("#'Table Of contents'!B11","GO TO TOC SHEET")</f>
        <v>GO TO TOC SHEET</v>
      </c>
      <c r="B2" s="329" t="s">
        <v>85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1"/>
    </row>
    <row r="3" spans="1:13" s="124" customFormat="1" ht="35.25" customHeight="1" x14ac:dyDescent="0.55000000000000004">
      <c r="B3" s="133" t="s">
        <v>2</v>
      </c>
      <c r="C3" s="134" t="s">
        <v>3</v>
      </c>
      <c r="D3" s="134" t="s">
        <v>27</v>
      </c>
      <c r="E3" s="134" t="s">
        <v>28</v>
      </c>
      <c r="F3" s="134" t="s">
        <v>112</v>
      </c>
      <c r="G3" s="136" t="s">
        <v>95</v>
      </c>
      <c r="H3" s="136" t="s">
        <v>101</v>
      </c>
      <c r="I3" s="136" t="s">
        <v>109</v>
      </c>
      <c r="J3" s="136" t="s">
        <v>106</v>
      </c>
      <c r="K3" s="136" t="s">
        <v>94</v>
      </c>
      <c r="L3" s="136" t="s">
        <v>102</v>
      </c>
      <c r="M3" s="132" t="s">
        <v>110</v>
      </c>
    </row>
    <row r="4" spans="1:13" ht="28.8" x14ac:dyDescent="0.55000000000000004">
      <c r="B4" s="147">
        <v>3428</v>
      </c>
      <c r="C4" s="146" t="s">
        <v>5</v>
      </c>
      <c r="D4" s="146" t="s">
        <v>38</v>
      </c>
      <c r="E4" s="146" t="s">
        <v>39</v>
      </c>
      <c r="F4" s="146">
        <v>53575</v>
      </c>
      <c r="G4" s="146">
        <f>F4*20%</f>
        <v>10715</v>
      </c>
      <c r="H4" s="146">
        <f>F4*10%</f>
        <v>5357.5</v>
      </c>
      <c r="I4" s="146">
        <f>F4*10%</f>
        <v>5357.5</v>
      </c>
      <c r="J4" s="146">
        <f>F4+G4+H4+I4</f>
        <v>75005</v>
      </c>
      <c r="K4" s="146">
        <f>F4*12%</f>
        <v>6429</v>
      </c>
      <c r="L4" s="146">
        <f>F4*5%</f>
        <v>2678.75</v>
      </c>
      <c r="M4" s="150">
        <f>J4-K4-L4</f>
        <v>65897.25</v>
      </c>
    </row>
    <row r="5" spans="1:13" ht="28.8" x14ac:dyDescent="0.55000000000000004">
      <c r="B5" s="147">
        <v>3433</v>
      </c>
      <c r="C5" s="146" t="s">
        <v>10</v>
      </c>
      <c r="D5" s="146" t="s">
        <v>38</v>
      </c>
      <c r="E5" s="146" t="s">
        <v>39</v>
      </c>
      <c r="F5" s="146">
        <v>50119</v>
      </c>
      <c r="G5" s="146">
        <f t="shared" ref="G5:G7" si="0">F5*20%</f>
        <v>10023.800000000001</v>
      </c>
      <c r="H5" s="146">
        <f t="shared" ref="H5:H7" si="1">F5*10%</f>
        <v>5011.9000000000005</v>
      </c>
      <c r="I5" s="146">
        <f t="shared" ref="I5:I7" si="2">F5*10%</f>
        <v>5011.9000000000005</v>
      </c>
      <c r="J5" s="146">
        <f t="shared" ref="J5:J7" si="3">F5+G5+H5+I5</f>
        <v>70166.600000000006</v>
      </c>
      <c r="K5" s="146">
        <f t="shared" ref="K5:K7" si="4">F5*12%</f>
        <v>6014.28</v>
      </c>
      <c r="L5" s="146">
        <f t="shared" ref="L5:L7" si="5">F5*5%</f>
        <v>2505.9500000000003</v>
      </c>
      <c r="M5" s="150">
        <f t="shared" ref="M5:M7" si="6">J5-K5-L5</f>
        <v>61646.37000000001</v>
      </c>
    </row>
    <row r="6" spans="1:13" ht="28.8" x14ac:dyDescent="0.55000000000000004">
      <c r="B6" s="147">
        <v>3438</v>
      </c>
      <c r="C6" s="146" t="s">
        <v>15</v>
      </c>
      <c r="D6" s="146" t="s">
        <v>38</v>
      </c>
      <c r="E6" s="146" t="s">
        <v>39</v>
      </c>
      <c r="F6" s="146">
        <v>79650</v>
      </c>
      <c r="G6" s="146">
        <f t="shared" si="0"/>
        <v>15930</v>
      </c>
      <c r="H6" s="146">
        <f t="shared" si="1"/>
        <v>7965</v>
      </c>
      <c r="I6" s="146">
        <f t="shared" si="2"/>
        <v>7965</v>
      </c>
      <c r="J6" s="146">
        <f t="shared" si="3"/>
        <v>111510</v>
      </c>
      <c r="K6" s="146">
        <f t="shared" si="4"/>
        <v>9558</v>
      </c>
      <c r="L6" s="146">
        <f t="shared" si="5"/>
        <v>3982.5</v>
      </c>
      <c r="M6" s="150">
        <f t="shared" si="6"/>
        <v>97969.5</v>
      </c>
    </row>
    <row r="7" spans="1:13" ht="29.4" thickBot="1" x14ac:dyDescent="0.6">
      <c r="B7" s="148">
        <v>3443</v>
      </c>
      <c r="C7" s="149" t="s">
        <v>20</v>
      </c>
      <c r="D7" s="149" t="s">
        <v>38</v>
      </c>
      <c r="E7" s="149" t="s">
        <v>39</v>
      </c>
      <c r="F7" s="149">
        <v>42554</v>
      </c>
      <c r="G7" s="149">
        <f t="shared" si="0"/>
        <v>8510.8000000000011</v>
      </c>
      <c r="H7" s="149">
        <f t="shared" si="1"/>
        <v>4255.4000000000005</v>
      </c>
      <c r="I7" s="149">
        <f t="shared" si="2"/>
        <v>4255.4000000000005</v>
      </c>
      <c r="J7" s="149">
        <f t="shared" si="3"/>
        <v>59575.600000000006</v>
      </c>
      <c r="K7" s="149">
        <f t="shared" si="4"/>
        <v>5106.4799999999996</v>
      </c>
      <c r="L7" s="149">
        <f t="shared" si="5"/>
        <v>2127.7000000000003</v>
      </c>
      <c r="M7" s="151">
        <f t="shared" si="6"/>
        <v>52341.420000000013</v>
      </c>
    </row>
  </sheetData>
  <mergeCells count="1">
    <mergeCell ref="B2:M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2:N9"/>
  <sheetViews>
    <sheetView showGridLines="0" zoomScale="40" zoomScaleNormal="40" workbookViewId="0">
      <selection activeCell="P6" sqref="P6"/>
    </sheetView>
  </sheetViews>
  <sheetFormatPr defaultRowHeight="14.4" x14ac:dyDescent="0.3"/>
  <cols>
    <col min="1" max="1" width="34.33203125" customWidth="1"/>
    <col min="2" max="2" width="31.33203125" customWidth="1"/>
    <col min="3" max="3" width="24.88671875" bestFit="1" customWidth="1"/>
    <col min="4" max="4" width="24.109375" bestFit="1" customWidth="1"/>
    <col min="5" max="5" width="28.33203125" customWidth="1"/>
    <col min="6" max="6" width="29.44140625" customWidth="1"/>
    <col min="7" max="7" width="29.33203125" bestFit="1" customWidth="1"/>
    <col min="8" max="8" width="21.5546875" customWidth="1"/>
    <col min="9" max="9" width="24.5546875" customWidth="1"/>
    <col min="10" max="10" width="30.109375" customWidth="1"/>
    <col min="11" max="11" width="33.109375" customWidth="1"/>
    <col min="12" max="12" width="18.5546875" customWidth="1"/>
    <col min="13" max="13" width="30" customWidth="1"/>
    <col min="14" max="14" width="38.109375" customWidth="1"/>
    <col min="15" max="15" width="7.88671875" customWidth="1"/>
    <col min="16" max="16" width="45.33203125" customWidth="1"/>
    <col min="17" max="17" width="30.109375" customWidth="1"/>
    <col min="18" max="18" width="36.44140625" customWidth="1"/>
  </cols>
  <sheetData>
    <row r="2" spans="1:14" ht="30.75" customHeight="1" x14ac:dyDescent="0.55000000000000004">
      <c r="A2" s="198" t="str">
        <f>HYPERLINK("#'Table Of contents'!B11","GO TO TOC SHEET")</f>
        <v>GO TO TOC SHEET</v>
      </c>
    </row>
    <row r="3" spans="1:14" ht="46.5" customHeight="1" thickBot="1" x14ac:dyDescent="0.35"/>
    <row r="4" spans="1:14" ht="60.75" customHeight="1" x14ac:dyDescent="0.3">
      <c r="B4" s="332" t="s">
        <v>87</v>
      </c>
      <c r="C4" s="333"/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4"/>
    </row>
    <row r="5" spans="1:14" s="126" customFormat="1" ht="45.75" customHeight="1" x14ac:dyDescent="0.7">
      <c r="B5" s="127" t="s">
        <v>2</v>
      </c>
      <c r="C5" s="128" t="s">
        <v>3</v>
      </c>
      <c r="D5" s="128" t="s">
        <v>24</v>
      </c>
      <c r="E5" s="128" t="s">
        <v>27</v>
      </c>
      <c r="F5" s="128" t="s">
        <v>28</v>
      </c>
      <c r="G5" s="128" t="s">
        <v>108</v>
      </c>
      <c r="H5" s="129" t="s">
        <v>95</v>
      </c>
      <c r="I5" s="129" t="s">
        <v>101</v>
      </c>
      <c r="J5" s="129" t="s">
        <v>109</v>
      </c>
      <c r="K5" s="129" t="s">
        <v>106</v>
      </c>
      <c r="L5" s="129" t="s">
        <v>94</v>
      </c>
      <c r="M5" s="129" t="s">
        <v>102</v>
      </c>
      <c r="N5" s="165" t="s">
        <v>103</v>
      </c>
    </row>
    <row r="6" spans="1:14" ht="31.2" x14ac:dyDescent="0.3">
      <c r="B6" s="166">
        <v>3430</v>
      </c>
      <c r="C6" s="130" t="s">
        <v>7</v>
      </c>
      <c r="D6" s="130" t="s">
        <v>43</v>
      </c>
      <c r="E6" s="130" t="s">
        <v>44</v>
      </c>
      <c r="F6" s="130" t="s">
        <v>45</v>
      </c>
      <c r="G6" s="130">
        <v>51045</v>
      </c>
      <c r="H6" s="130">
        <v>10209</v>
      </c>
      <c r="I6" s="130">
        <f>G6*10%</f>
        <v>5104.5</v>
      </c>
      <c r="J6" s="130">
        <f>G6*10%</f>
        <v>5104.5</v>
      </c>
      <c r="K6" s="130">
        <f>G6+H6+I6+J6</f>
        <v>71463</v>
      </c>
      <c r="L6" s="130">
        <f>G6*12%</f>
        <v>6125.4</v>
      </c>
      <c r="M6" s="130">
        <f>G6*5%</f>
        <v>2552.25</v>
      </c>
      <c r="N6" s="167">
        <f>K6-L6-M6</f>
        <v>62785.35</v>
      </c>
    </row>
    <row r="7" spans="1:14" ht="31.2" x14ac:dyDescent="0.3">
      <c r="B7" s="166">
        <v>3435</v>
      </c>
      <c r="C7" s="130" t="s">
        <v>12</v>
      </c>
      <c r="D7" s="130" t="s">
        <v>52</v>
      </c>
      <c r="E7" s="130" t="s">
        <v>44</v>
      </c>
      <c r="F7" s="130" t="s">
        <v>45</v>
      </c>
      <c r="G7" s="130">
        <v>44489</v>
      </c>
      <c r="H7" s="130">
        <v>8897.8000000000011</v>
      </c>
      <c r="I7" s="130">
        <f t="shared" ref="I7:I9" si="0">G7*10%</f>
        <v>4448.9000000000005</v>
      </c>
      <c r="J7" s="130">
        <f t="shared" ref="J7:J9" si="1">G7*10%</f>
        <v>4448.9000000000005</v>
      </c>
      <c r="K7" s="130">
        <f t="shared" ref="K7:K9" si="2">G7+H7+I7+J7</f>
        <v>62284.600000000006</v>
      </c>
      <c r="L7" s="130">
        <f t="shared" ref="L7:L9" si="3">G7*12%</f>
        <v>5338.6799999999994</v>
      </c>
      <c r="M7" s="130">
        <f t="shared" ref="M7:M9" si="4">G7*5%</f>
        <v>2224.4500000000003</v>
      </c>
      <c r="N7" s="167">
        <f t="shared" ref="N7:N9" si="5">K7-L7-M7</f>
        <v>54721.470000000008</v>
      </c>
    </row>
    <row r="8" spans="1:14" ht="31.2" x14ac:dyDescent="0.3">
      <c r="B8" s="166">
        <v>3440</v>
      </c>
      <c r="C8" s="130" t="s">
        <v>17</v>
      </c>
      <c r="D8" s="130" t="s">
        <v>57</v>
      </c>
      <c r="E8" s="130" t="s">
        <v>44</v>
      </c>
      <c r="F8" s="130" t="s">
        <v>45</v>
      </c>
      <c r="G8" s="130">
        <v>59082</v>
      </c>
      <c r="H8" s="130">
        <v>11816.400000000001</v>
      </c>
      <c r="I8" s="130">
        <f t="shared" si="0"/>
        <v>5908.2000000000007</v>
      </c>
      <c r="J8" s="130">
        <f t="shared" si="1"/>
        <v>5908.2000000000007</v>
      </c>
      <c r="K8" s="130">
        <f t="shared" si="2"/>
        <v>82714.799999999988</v>
      </c>
      <c r="L8" s="130">
        <f t="shared" si="3"/>
        <v>7089.84</v>
      </c>
      <c r="M8" s="130">
        <f t="shared" si="4"/>
        <v>2954.1000000000004</v>
      </c>
      <c r="N8" s="167">
        <f t="shared" si="5"/>
        <v>72670.859999999986</v>
      </c>
    </row>
    <row r="9" spans="1:14" ht="31.8" thickBot="1" x14ac:dyDescent="0.35">
      <c r="B9" s="168">
        <v>3445</v>
      </c>
      <c r="C9" s="169" t="s">
        <v>22</v>
      </c>
      <c r="D9" s="169" t="s">
        <v>62</v>
      </c>
      <c r="E9" s="169" t="s">
        <v>44</v>
      </c>
      <c r="F9" s="169" t="s">
        <v>45</v>
      </c>
      <c r="G9" s="169">
        <v>47680</v>
      </c>
      <c r="H9" s="169">
        <v>9536</v>
      </c>
      <c r="I9" s="169">
        <f t="shared" si="0"/>
        <v>4768</v>
      </c>
      <c r="J9" s="169">
        <f t="shared" si="1"/>
        <v>4768</v>
      </c>
      <c r="K9" s="169">
        <f t="shared" si="2"/>
        <v>66752</v>
      </c>
      <c r="L9" s="169">
        <f t="shared" si="3"/>
        <v>5721.5999999999995</v>
      </c>
      <c r="M9" s="169">
        <f t="shared" si="4"/>
        <v>2384</v>
      </c>
      <c r="N9" s="170">
        <f t="shared" si="5"/>
        <v>58646.400000000001</v>
      </c>
    </row>
  </sheetData>
  <mergeCells count="1">
    <mergeCell ref="B4:N4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M7"/>
  <sheetViews>
    <sheetView showGridLines="0" zoomScale="50" zoomScaleNormal="50" workbookViewId="0">
      <selection activeCell="O8" sqref="O8"/>
    </sheetView>
  </sheetViews>
  <sheetFormatPr defaultRowHeight="14.4" x14ac:dyDescent="0.3"/>
  <cols>
    <col min="1" max="1" width="24" customWidth="1"/>
    <col min="2" max="2" width="28.33203125" bestFit="1" customWidth="1"/>
    <col min="3" max="3" width="23.5546875" bestFit="1" customWidth="1"/>
    <col min="4" max="4" width="27.6640625" bestFit="1" customWidth="1"/>
    <col min="5" max="5" width="34.44140625" bestFit="1" customWidth="1"/>
    <col min="6" max="6" width="23.88671875" customWidth="1"/>
    <col min="7" max="7" width="23.109375" customWidth="1"/>
    <col min="8" max="8" width="23.44140625" customWidth="1"/>
    <col min="9" max="10" width="27.6640625" customWidth="1"/>
    <col min="11" max="11" width="27.5546875" customWidth="1"/>
    <col min="12" max="12" width="20.109375" customWidth="1"/>
    <col min="13" max="13" width="25" customWidth="1"/>
    <col min="14" max="14" width="2.88671875" customWidth="1"/>
  </cols>
  <sheetData>
    <row r="1" spans="1:13" ht="36.75" customHeight="1" thickBot="1" x14ac:dyDescent="0.35"/>
    <row r="2" spans="1:13" ht="36" customHeight="1" x14ac:dyDescent="0.3">
      <c r="A2" s="206" t="str">
        <f>HYPERLINK("#'Table Of contents'!B11","GO TO TOC SHEET")</f>
        <v>GO TO TOC SHEET</v>
      </c>
      <c r="B2" s="326" t="s">
        <v>88</v>
      </c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8"/>
    </row>
    <row r="3" spans="1:13" s="125" customFormat="1" ht="31.2" x14ac:dyDescent="0.6">
      <c r="B3" s="209" t="s">
        <v>2</v>
      </c>
      <c r="C3" s="208" t="s">
        <v>3</v>
      </c>
      <c r="D3" s="208" t="s">
        <v>27</v>
      </c>
      <c r="E3" s="208" t="s">
        <v>28</v>
      </c>
      <c r="F3" s="208" t="s">
        <v>108</v>
      </c>
      <c r="G3" s="208" t="s">
        <v>95</v>
      </c>
      <c r="H3" s="208" t="s">
        <v>101</v>
      </c>
      <c r="I3" s="208" t="s">
        <v>109</v>
      </c>
      <c r="J3" s="208" t="s">
        <v>106</v>
      </c>
      <c r="K3" s="208" t="s">
        <v>94</v>
      </c>
      <c r="L3" s="152" t="s">
        <v>102</v>
      </c>
      <c r="M3" s="154" t="s">
        <v>103</v>
      </c>
    </row>
    <row r="4" spans="1:13" ht="25.8" x14ac:dyDescent="0.45">
      <c r="B4" s="138">
        <v>3431</v>
      </c>
      <c r="C4" s="139" t="s">
        <v>8</v>
      </c>
      <c r="D4" s="139" t="s">
        <v>47</v>
      </c>
      <c r="E4" s="139" t="s">
        <v>48</v>
      </c>
      <c r="F4" s="157">
        <v>52792</v>
      </c>
      <c r="G4" s="157">
        <v>10558.4</v>
      </c>
      <c r="H4" s="157">
        <f>F4*10%</f>
        <v>5279.2000000000007</v>
      </c>
      <c r="I4" s="157">
        <f>F4*10%</f>
        <v>5279.2000000000007</v>
      </c>
      <c r="J4" s="157">
        <f>F4+G4+H4+I4</f>
        <v>73908.800000000003</v>
      </c>
      <c r="K4" s="157">
        <f>F4*12%</f>
        <v>6335.04</v>
      </c>
      <c r="L4" s="153">
        <f>F4*5%</f>
        <v>2639.6000000000004</v>
      </c>
      <c r="M4" s="155">
        <f>J4-K4-L4</f>
        <v>64934.160000000011</v>
      </c>
    </row>
    <row r="5" spans="1:13" ht="25.8" x14ac:dyDescent="0.45">
      <c r="B5" s="138">
        <v>3436</v>
      </c>
      <c r="C5" s="139" t="s">
        <v>13</v>
      </c>
      <c r="D5" s="139" t="s">
        <v>47</v>
      </c>
      <c r="E5" s="139" t="s">
        <v>48</v>
      </c>
      <c r="F5" s="157">
        <v>47363</v>
      </c>
      <c r="G5" s="157">
        <v>9472.6</v>
      </c>
      <c r="H5" s="157">
        <f t="shared" ref="H5:H7" si="0">F5*10%</f>
        <v>4736.3</v>
      </c>
      <c r="I5" s="157">
        <f t="shared" ref="I5:I7" si="1">F5*10%</f>
        <v>4736.3</v>
      </c>
      <c r="J5" s="157">
        <f t="shared" ref="J5:J7" si="2">F5+G5+H5+I5</f>
        <v>66308.2</v>
      </c>
      <c r="K5" s="157">
        <f t="shared" ref="K5:K7" si="3">F5*12%</f>
        <v>5683.5599999999995</v>
      </c>
      <c r="L5" s="153">
        <f>F5*5%</f>
        <v>2368.15</v>
      </c>
      <c r="M5" s="155">
        <f>J5-K5-L5</f>
        <v>58256.49</v>
      </c>
    </row>
    <row r="6" spans="1:13" ht="25.8" x14ac:dyDescent="0.45">
      <c r="B6" s="138">
        <v>3441</v>
      </c>
      <c r="C6" s="139" t="s">
        <v>18</v>
      </c>
      <c r="D6" s="139" t="s">
        <v>47</v>
      </c>
      <c r="E6" s="139" t="s">
        <v>48</v>
      </c>
      <c r="F6" s="157">
        <v>41301</v>
      </c>
      <c r="G6" s="157">
        <v>8260.2000000000007</v>
      </c>
      <c r="H6" s="157">
        <f t="shared" si="0"/>
        <v>4130.1000000000004</v>
      </c>
      <c r="I6" s="157">
        <f t="shared" si="1"/>
        <v>4130.1000000000004</v>
      </c>
      <c r="J6" s="157">
        <f t="shared" si="2"/>
        <v>57821.399999999994</v>
      </c>
      <c r="K6" s="157">
        <f t="shared" si="3"/>
        <v>4956.12</v>
      </c>
      <c r="L6" s="153">
        <f>F6*5%</f>
        <v>2065.0500000000002</v>
      </c>
      <c r="M6" s="155">
        <f>J6-K6-L6</f>
        <v>50800.229999999989</v>
      </c>
    </row>
    <row r="7" spans="1:13" ht="26.4" thickBot="1" x14ac:dyDescent="0.5">
      <c r="B7" s="142">
        <v>3446</v>
      </c>
      <c r="C7" s="143" t="s">
        <v>23</v>
      </c>
      <c r="D7" s="143" t="s">
        <v>47</v>
      </c>
      <c r="E7" s="143" t="s">
        <v>48</v>
      </c>
      <c r="F7" s="158">
        <v>36560</v>
      </c>
      <c r="G7" s="158">
        <v>7312</v>
      </c>
      <c r="H7" s="158">
        <f t="shared" si="0"/>
        <v>3656</v>
      </c>
      <c r="I7" s="158">
        <f t="shared" si="1"/>
        <v>3656</v>
      </c>
      <c r="J7" s="158">
        <f t="shared" si="2"/>
        <v>51184</v>
      </c>
      <c r="K7" s="158">
        <f t="shared" si="3"/>
        <v>4387.2</v>
      </c>
      <c r="L7" s="207">
        <f>F7*5%</f>
        <v>1828</v>
      </c>
      <c r="M7" s="156">
        <f>J7-K7-L7</f>
        <v>44968.800000000003</v>
      </c>
    </row>
  </sheetData>
  <mergeCells count="1">
    <mergeCell ref="B2:M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R27"/>
  <sheetViews>
    <sheetView showGridLines="0" topLeftCell="A2" zoomScale="46" zoomScaleNormal="46" workbookViewId="0">
      <selection activeCell="P14" sqref="P14"/>
    </sheetView>
  </sheetViews>
  <sheetFormatPr defaultRowHeight="14.4" x14ac:dyDescent="0.3"/>
  <cols>
    <col min="1" max="1" width="34.88671875" customWidth="1"/>
    <col min="2" max="2" width="19.5546875" customWidth="1"/>
    <col min="3" max="4" width="16.6640625" customWidth="1"/>
    <col min="5" max="5" width="40.33203125" customWidth="1"/>
    <col min="6" max="8" width="28.88671875" customWidth="1"/>
    <col min="9" max="9" width="25.33203125" customWidth="1"/>
    <col min="10" max="10" width="24.109375" customWidth="1"/>
    <col min="11" max="11" width="23.44140625" customWidth="1"/>
    <col min="12" max="12" width="22.6640625" customWidth="1"/>
    <col min="13" max="13" width="29.109375" customWidth="1"/>
    <col min="14" max="14" width="27.33203125" customWidth="1"/>
    <col min="15" max="15" width="29.109375" customWidth="1"/>
    <col min="16" max="16" width="30.88671875" customWidth="1"/>
  </cols>
  <sheetData>
    <row r="1" spans="1:18" ht="28.8" x14ac:dyDescent="0.55000000000000004">
      <c r="A1" s="124"/>
    </row>
    <row r="2" spans="1:18" ht="28.8" x14ac:dyDescent="0.55000000000000004">
      <c r="A2" s="198" t="str">
        <f>HYPERLINK("#'Table Of contents'!B1","GO TO TOC SHEET")</f>
        <v>GO TO TOC SHEET</v>
      </c>
    </row>
    <row r="3" spans="1:18" ht="12.75" customHeight="1" x14ac:dyDescent="0.3"/>
    <row r="4" spans="1:18" ht="49.5" customHeight="1" thickBot="1" x14ac:dyDescent="0.35"/>
    <row r="5" spans="1:18" ht="72.75" customHeight="1" x14ac:dyDescent="0.6">
      <c r="A5" s="335" t="s">
        <v>123</v>
      </c>
      <c r="B5" s="336"/>
      <c r="C5" s="337"/>
      <c r="D5" s="215"/>
      <c r="E5" s="338" t="s">
        <v>111</v>
      </c>
      <c r="F5" s="339"/>
      <c r="G5" s="339"/>
      <c r="H5" s="339"/>
      <c r="I5" s="339"/>
      <c r="J5" s="339"/>
      <c r="K5" s="339"/>
      <c r="L5" s="339"/>
      <c r="M5" s="339"/>
      <c r="N5" s="339"/>
      <c r="O5" s="339"/>
      <c r="P5" s="340"/>
      <c r="Q5" s="105"/>
      <c r="R5" s="105"/>
    </row>
    <row r="6" spans="1:18" ht="29.25" customHeight="1" thickBot="1" x14ac:dyDescent="0.6">
      <c r="A6" s="216" t="s">
        <v>122</v>
      </c>
      <c r="B6" s="211" t="str">
        <f>HYPERLINK("#'"&amp;A6&amp;"'!A1",A6)</f>
        <v>SALARY(HR DEPT)</v>
      </c>
      <c r="C6" s="212"/>
      <c r="D6" s="131"/>
      <c r="E6" s="34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3"/>
      <c r="Q6" s="105"/>
      <c r="R6" s="105"/>
    </row>
    <row r="7" spans="1:18" ht="42" customHeight="1" x14ac:dyDescent="0.55000000000000004">
      <c r="A7" s="216" t="s">
        <v>122</v>
      </c>
      <c r="B7" s="211" t="str">
        <f t="shared" ref="B7:B10" si="0">HYPERLINK("#'"&amp;A7&amp;"'!A1",A7)</f>
        <v>SALARY(HR DEPT)</v>
      </c>
      <c r="C7" s="212"/>
      <c r="D7" s="131"/>
      <c r="E7" s="230" t="s">
        <v>2</v>
      </c>
      <c r="F7" s="231" t="s">
        <v>3</v>
      </c>
      <c r="G7" s="231" t="s">
        <v>27</v>
      </c>
      <c r="H7" s="231" t="s">
        <v>28</v>
      </c>
      <c r="I7" s="232" t="s">
        <v>108</v>
      </c>
      <c r="J7" s="233" t="s">
        <v>95</v>
      </c>
      <c r="K7" s="233" t="s">
        <v>101</v>
      </c>
      <c r="L7" s="233" t="s">
        <v>109</v>
      </c>
      <c r="M7" s="233" t="s">
        <v>106</v>
      </c>
      <c r="N7" s="233" t="s">
        <v>94</v>
      </c>
      <c r="O7" s="233" t="s">
        <v>102</v>
      </c>
      <c r="P7" s="234" t="s">
        <v>103</v>
      </c>
    </row>
    <row r="8" spans="1:18" ht="28.8" x14ac:dyDescent="0.55000000000000004">
      <c r="A8" s="216" t="s">
        <v>122</v>
      </c>
      <c r="B8" s="211" t="str">
        <f t="shared" si="0"/>
        <v>SALARY(HR DEPT)</v>
      </c>
      <c r="C8" s="212"/>
      <c r="D8" s="131"/>
      <c r="E8" s="235">
        <v>3428</v>
      </c>
      <c r="F8" s="236" t="s">
        <v>5</v>
      </c>
      <c r="G8" s="236" t="s">
        <v>38</v>
      </c>
      <c r="H8" s="236" t="s">
        <v>39</v>
      </c>
      <c r="I8" s="237">
        <f>'SALARY(FINANCE DEPT)'!F4</f>
        <v>53575</v>
      </c>
      <c r="J8" s="238">
        <f>'SALARY(FINANCE DEPT)'!G4</f>
        <v>10715</v>
      </c>
      <c r="K8" s="238">
        <f>'SALARY(FINANCE DEPT)'!H4</f>
        <v>5357.5</v>
      </c>
      <c r="L8" s="238">
        <f>'SALARY(FINANCE DEPT)'!I4</f>
        <v>5357.5</v>
      </c>
      <c r="M8" s="239">
        <f>'SALARY(FINANCE DEPT)'!J4</f>
        <v>75005</v>
      </c>
      <c r="N8" s="240">
        <f>'SALARY(FINANCE DEPT)'!K4</f>
        <v>6429</v>
      </c>
      <c r="O8" s="240">
        <f>'SALARY(FINANCE DEPT)'!L4</f>
        <v>2678.75</v>
      </c>
      <c r="P8" s="241">
        <f>'SALARY(FINANCE DEPT)'!M4</f>
        <v>65897.25</v>
      </c>
    </row>
    <row r="9" spans="1:18" ht="28.8" x14ac:dyDescent="0.55000000000000004">
      <c r="A9" s="216" t="s">
        <v>122</v>
      </c>
      <c r="B9" s="211" t="str">
        <f t="shared" si="0"/>
        <v>SALARY(HR DEPT)</v>
      </c>
      <c r="C9" s="212"/>
      <c r="D9" s="131"/>
      <c r="E9" s="235">
        <v>3433</v>
      </c>
      <c r="F9" s="236" t="s">
        <v>10</v>
      </c>
      <c r="G9" s="236" t="s">
        <v>38</v>
      </c>
      <c r="H9" s="236" t="s">
        <v>39</v>
      </c>
      <c r="I9" s="237">
        <f>'SALARY(FINANCE DEPT)'!F5</f>
        <v>50119</v>
      </c>
      <c r="J9" s="238">
        <f>'SALARY(FINANCE DEPT)'!G5</f>
        <v>10023.800000000001</v>
      </c>
      <c r="K9" s="238">
        <f>'SALARY(FINANCE DEPT)'!H5</f>
        <v>5011.9000000000005</v>
      </c>
      <c r="L9" s="238">
        <f>'SALARY(FINANCE DEPT)'!I5</f>
        <v>5011.9000000000005</v>
      </c>
      <c r="M9" s="239">
        <f>'SALARY(FINANCE DEPT)'!J5</f>
        <v>70166.600000000006</v>
      </c>
      <c r="N9" s="240">
        <f>'SALARY(FINANCE DEPT)'!K5</f>
        <v>6014.28</v>
      </c>
      <c r="O9" s="240">
        <f>'SALARY(FINANCE DEPT)'!L5</f>
        <v>2505.9500000000003</v>
      </c>
      <c r="P9" s="241">
        <f>'SALARY(FINANCE DEPT)'!M5</f>
        <v>61646.37000000001</v>
      </c>
    </row>
    <row r="10" spans="1:18" ht="29.4" thickBot="1" x14ac:dyDescent="0.6">
      <c r="A10" s="182" t="s">
        <v>122</v>
      </c>
      <c r="B10" s="213" t="str">
        <f t="shared" si="0"/>
        <v>SALARY(HR DEPT)</v>
      </c>
      <c r="C10" s="214"/>
      <c r="D10" s="131"/>
      <c r="E10" s="235">
        <v>3438</v>
      </c>
      <c r="F10" s="236" t="s">
        <v>15</v>
      </c>
      <c r="G10" s="236" t="s">
        <v>38</v>
      </c>
      <c r="H10" s="236" t="s">
        <v>39</v>
      </c>
      <c r="I10" s="237">
        <f>'SALARY(FINANCE DEPT)'!F6</f>
        <v>79650</v>
      </c>
      <c r="J10" s="238">
        <f>'SALARY(FINANCE DEPT)'!G6</f>
        <v>15930</v>
      </c>
      <c r="K10" s="238">
        <f>'SALARY(FINANCE DEPT)'!H6</f>
        <v>7965</v>
      </c>
      <c r="L10" s="238">
        <f>'SALARY(FINANCE DEPT)'!I6</f>
        <v>7965</v>
      </c>
      <c r="M10" s="239">
        <f>'SALARY(FINANCE DEPT)'!J6</f>
        <v>111510</v>
      </c>
      <c r="N10" s="240">
        <f>'SALARY(FINANCE DEPT)'!K6</f>
        <v>9558</v>
      </c>
      <c r="O10" s="240">
        <f>'SALARY(FINANCE DEPT)'!L6</f>
        <v>3982.5</v>
      </c>
      <c r="P10" s="241">
        <f>'SALARY(FINANCE DEPT)'!M6</f>
        <v>97969.5</v>
      </c>
    </row>
    <row r="11" spans="1:18" ht="28.8" x14ac:dyDescent="0.55000000000000004">
      <c r="E11" s="235">
        <v>3443</v>
      </c>
      <c r="F11" s="236" t="s">
        <v>20</v>
      </c>
      <c r="G11" s="236" t="s">
        <v>38</v>
      </c>
      <c r="H11" s="236" t="s">
        <v>39</v>
      </c>
      <c r="I11" s="237">
        <f>'SALARY(FINANCE DEPT)'!F7</f>
        <v>42554</v>
      </c>
      <c r="J11" s="238">
        <f>'SALARY(FINANCE DEPT)'!G7</f>
        <v>8510.8000000000011</v>
      </c>
      <c r="K11" s="238">
        <f>'SALARY(FINANCE DEPT)'!H7</f>
        <v>4255.4000000000005</v>
      </c>
      <c r="L11" s="238">
        <f>'SALARY(FINANCE DEPT)'!I7</f>
        <v>4255.4000000000005</v>
      </c>
      <c r="M11" s="239">
        <f>'SALARY(FINANCE DEPT)'!J7</f>
        <v>59575.600000000006</v>
      </c>
      <c r="N11" s="240">
        <f>'SALARY(FINANCE DEPT)'!K7</f>
        <v>5106.4799999999996</v>
      </c>
      <c r="O11" s="240">
        <f>'SALARY(FINANCE DEPT)'!L7</f>
        <v>2127.7000000000003</v>
      </c>
      <c r="P11" s="241">
        <f>'SALARY(FINANCE DEPT)'!M7</f>
        <v>52341.420000000013</v>
      </c>
    </row>
    <row r="12" spans="1:18" ht="28.8" x14ac:dyDescent="0.55000000000000004">
      <c r="E12" s="235">
        <v>3429</v>
      </c>
      <c r="F12" s="236" t="s">
        <v>6</v>
      </c>
      <c r="G12" s="236" t="s">
        <v>41</v>
      </c>
      <c r="H12" s="236" t="s">
        <v>42</v>
      </c>
      <c r="I12" s="237">
        <f>'SALARY(IT DEPT)'!G4</f>
        <v>34422</v>
      </c>
      <c r="J12" s="238">
        <f>'SALARY(IT DEPT)'!H4</f>
        <v>7884.4000000000005</v>
      </c>
      <c r="K12" s="238">
        <f>'SALARY(IT DEPT)'!I4</f>
        <v>3942.2000000000003</v>
      </c>
      <c r="L12" s="238">
        <f>'SALARY(IT DEPT)'!J4</f>
        <v>3442.2000000000003</v>
      </c>
      <c r="M12" s="239">
        <f>'SALARY(IT DEPT)'!K4</f>
        <v>49690.799999999996</v>
      </c>
      <c r="N12" s="240">
        <f>'SALARY(IT DEPT)'!L4</f>
        <v>4130.6399999999994</v>
      </c>
      <c r="O12" s="240">
        <f>'SALARY(IT DEPT)'!M4</f>
        <v>1721.1000000000001</v>
      </c>
      <c r="P12" s="241">
        <f>'SALARY(IT DEPT)'!N4</f>
        <v>43839.06</v>
      </c>
    </row>
    <row r="13" spans="1:18" ht="28.8" x14ac:dyDescent="0.55000000000000004">
      <c r="E13" s="235">
        <v>3434</v>
      </c>
      <c r="F13" s="236" t="s">
        <v>11</v>
      </c>
      <c r="G13" s="236" t="s">
        <v>41</v>
      </c>
      <c r="H13" s="236" t="s">
        <v>42</v>
      </c>
      <c r="I13" s="237">
        <f>'SALARY(IT DEPT)'!G5</f>
        <v>41578</v>
      </c>
      <c r="J13" s="238">
        <f>'SALARY(IT DEPT)'!H5</f>
        <v>8315.6</v>
      </c>
      <c r="K13" s="238">
        <f>'SALARY(IT DEPT)'!I5</f>
        <v>4157.8</v>
      </c>
      <c r="L13" s="238">
        <f>'SALARY(IT DEPT)'!J5</f>
        <v>4157.8</v>
      </c>
      <c r="M13" s="239">
        <f>'SALARY(IT DEPT)'!K5</f>
        <v>58209.200000000004</v>
      </c>
      <c r="N13" s="240">
        <f>'SALARY(IT DEPT)'!L5</f>
        <v>4989.3599999999997</v>
      </c>
      <c r="O13" s="240">
        <f>'SALARY(IT DEPT)'!M5</f>
        <v>2078.9</v>
      </c>
      <c r="P13" s="241">
        <f>'SALARY(IT DEPT)'!N5</f>
        <v>51140.94</v>
      </c>
    </row>
    <row r="14" spans="1:18" ht="28.8" x14ac:dyDescent="0.55000000000000004">
      <c r="E14" s="235">
        <v>3439</v>
      </c>
      <c r="F14" s="236" t="s">
        <v>16</v>
      </c>
      <c r="G14" s="236" t="s">
        <v>41</v>
      </c>
      <c r="H14" s="236" t="s">
        <v>42</v>
      </c>
      <c r="I14" s="237">
        <f>'SALARY(IT DEPT)'!G6</f>
        <v>66588</v>
      </c>
      <c r="J14" s="238">
        <f>'SALARY(IT DEPT)'!H6</f>
        <v>13317.6</v>
      </c>
      <c r="K14" s="238">
        <f>'SALARY(IT DEPT)'!I6</f>
        <v>6658.8</v>
      </c>
      <c r="L14" s="238">
        <f>'SALARY(IT DEPT)'!J6</f>
        <v>6658.8</v>
      </c>
      <c r="M14" s="239">
        <f>'SALARY(IT DEPT)'!K6</f>
        <v>93223.200000000012</v>
      </c>
      <c r="N14" s="240">
        <f>'SALARY(IT DEPT)'!L6</f>
        <v>7990.5599999999995</v>
      </c>
      <c r="O14" s="240">
        <f>'SALARY(IT DEPT)'!M6</f>
        <v>3329.4</v>
      </c>
      <c r="P14" s="241">
        <f>'SALARY(IT DEPT)'!N6</f>
        <v>81903.24000000002</v>
      </c>
    </row>
    <row r="15" spans="1:18" ht="28.8" x14ac:dyDescent="0.55000000000000004">
      <c r="E15" s="235">
        <v>3444</v>
      </c>
      <c r="F15" s="236" t="s">
        <v>21</v>
      </c>
      <c r="G15" s="236" t="s">
        <v>41</v>
      </c>
      <c r="H15" s="236" t="s">
        <v>42</v>
      </c>
      <c r="I15" s="237">
        <f>'SALARY(IT DEPT)'!G7</f>
        <v>52923</v>
      </c>
      <c r="J15" s="238">
        <f>'SALARY(IT DEPT)'!H7</f>
        <v>10584.6</v>
      </c>
      <c r="K15" s="238">
        <f>'SALARY(IT DEPT)'!I7</f>
        <v>5292.3</v>
      </c>
      <c r="L15" s="238">
        <f>'SALARY(IT DEPT)'!J7</f>
        <v>5292.3</v>
      </c>
      <c r="M15" s="239">
        <f>'SALARY(IT DEPT)'!K7</f>
        <v>74092.2</v>
      </c>
      <c r="N15" s="240">
        <f>'SALARY(IT DEPT)'!L7</f>
        <v>6350.76</v>
      </c>
      <c r="O15" s="240">
        <f>'SALARY(IT DEPT)'!M7</f>
        <v>2646.15</v>
      </c>
      <c r="P15" s="241">
        <f>'SALARY(IT DEPT)'!N7</f>
        <v>65095.29</v>
      </c>
    </row>
    <row r="16" spans="1:18" ht="28.8" x14ac:dyDescent="0.55000000000000004">
      <c r="E16" s="235">
        <v>3430</v>
      </c>
      <c r="F16" s="236" t="s">
        <v>7</v>
      </c>
      <c r="G16" s="236" t="s">
        <v>44</v>
      </c>
      <c r="H16" s="236" t="s">
        <v>45</v>
      </c>
      <c r="I16" s="237">
        <f>'SALARY(MARKETING DEPT)'!G6</f>
        <v>51045</v>
      </c>
      <c r="J16" s="238">
        <f>'SALARY(MARKETING DEPT)'!H6</f>
        <v>10209</v>
      </c>
      <c r="K16" s="238">
        <f>'SALARY(MARKETING DEPT)'!I6</f>
        <v>5104.5</v>
      </c>
      <c r="L16" s="238">
        <f>'SALARY(MARKETING DEPT)'!J6</f>
        <v>5104.5</v>
      </c>
      <c r="M16" s="239">
        <f>'SALARY(MARKETING DEPT)'!K6</f>
        <v>71463</v>
      </c>
      <c r="N16" s="240">
        <f>'SALARY(MARKETING DEPT)'!L6</f>
        <v>6125.4</v>
      </c>
      <c r="O16" s="240">
        <f>'SALARY(MARKETING DEPT)'!M6</f>
        <v>2552.25</v>
      </c>
      <c r="P16" s="241">
        <f>'SALARY(MARKETING DEPT)'!N6</f>
        <v>62785.35</v>
      </c>
    </row>
    <row r="17" spans="5:16" ht="28.8" x14ac:dyDescent="0.55000000000000004">
      <c r="E17" s="235">
        <v>3435</v>
      </c>
      <c r="F17" s="236" t="s">
        <v>12</v>
      </c>
      <c r="G17" s="236" t="s">
        <v>44</v>
      </c>
      <c r="H17" s="236" t="s">
        <v>45</v>
      </c>
      <c r="I17" s="237">
        <f>'SALARY(MARKETING DEPT)'!G7</f>
        <v>44489</v>
      </c>
      <c r="J17" s="238">
        <f>'SALARY(MARKETING DEPT)'!H7</f>
        <v>8897.8000000000011</v>
      </c>
      <c r="K17" s="238">
        <f>'SALARY(MARKETING DEPT)'!I7</f>
        <v>4448.9000000000005</v>
      </c>
      <c r="L17" s="238">
        <f>'SALARY(MARKETING DEPT)'!J7</f>
        <v>4448.9000000000005</v>
      </c>
      <c r="M17" s="239">
        <f>'SALARY(MARKETING DEPT)'!K7</f>
        <v>62284.600000000006</v>
      </c>
      <c r="N17" s="240">
        <f>'SALARY(MARKETING DEPT)'!L7</f>
        <v>5338.6799999999994</v>
      </c>
      <c r="O17" s="240">
        <f>'SALARY(MARKETING DEPT)'!M7</f>
        <v>2224.4500000000003</v>
      </c>
      <c r="P17" s="241">
        <f>'SALARY(MARKETING DEPT)'!N7</f>
        <v>54721.470000000008</v>
      </c>
    </row>
    <row r="18" spans="5:16" ht="28.8" x14ac:dyDescent="0.55000000000000004">
      <c r="E18" s="235">
        <v>3440</v>
      </c>
      <c r="F18" s="236" t="s">
        <v>17</v>
      </c>
      <c r="G18" s="236" t="s">
        <v>44</v>
      </c>
      <c r="H18" s="236" t="s">
        <v>45</v>
      </c>
      <c r="I18" s="237">
        <f>'SALARY(MARKETING DEPT)'!G8</f>
        <v>59082</v>
      </c>
      <c r="J18" s="238">
        <f>'SALARY(MARKETING DEPT)'!H8</f>
        <v>11816.400000000001</v>
      </c>
      <c r="K18" s="238">
        <f>'SALARY(MARKETING DEPT)'!I8</f>
        <v>5908.2000000000007</v>
      </c>
      <c r="L18" s="238">
        <f>'SALARY(MARKETING DEPT)'!J8</f>
        <v>5908.2000000000007</v>
      </c>
      <c r="M18" s="239">
        <f>'SALARY(MARKETING DEPT)'!K8</f>
        <v>82714.799999999988</v>
      </c>
      <c r="N18" s="240">
        <f>'SALARY(MARKETING DEPT)'!L8</f>
        <v>7089.84</v>
      </c>
      <c r="O18" s="240">
        <f>'SALARY(MARKETING DEPT)'!M8</f>
        <v>2954.1000000000004</v>
      </c>
      <c r="P18" s="241">
        <f>'SALARY(MARKETING DEPT)'!N8</f>
        <v>72670.859999999986</v>
      </c>
    </row>
    <row r="19" spans="5:16" ht="28.8" x14ac:dyDescent="0.55000000000000004">
      <c r="E19" s="235">
        <v>3445</v>
      </c>
      <c r="F19" s="236" t="s">
        <v>22</v>
      </c>
      <c r="G19" s="236" t="s">
        <v>44</v>
      </c>
      <c r="H19" s="236" t="s">
        <v>45</v>
      </c>
      <c r="I19" s="237">
        <f>'SALARY(MARKETING DEPT)'!G9</f>
        <v>47680</v>
      </c>
      <c r="J19" s="238">
        <f>'SALARY(MARKETING DEPT)'!H9</f>
        <v>9536</v>
      </c>
      <c r="K19" s="238">
        <f>'SALARY(MARKETING DEPT)'!I9</f>
        <v>4768</v>
      </c>
      <c r="L19" s="238">
        <f>'SALARY(MARKETING DEPT)'!J9</f>
        <v>4768</v>
      </c>
      <c r="M19" s="239">
        <f>'SALARY(MARKETING DEPT)'!K9</f>
        <v>66752</v>
      </c>
      <c r="N19" s="240">
        <f>'SALARY(MARKETING DEPT)'!L9</f>
        <v>5721.5999999999995</v>
      </c>
      <c r="O19" s="240">
        <f>'SALARY(MARKETING DEPT)'!M9</f>
        <v>2384</v>
      </c>
      <c r="P19" s="241">
        <f>'SALARY(MARKETING DEPT)'!N9</f>
        <v>58646.400000000001</v>
      </c>
    </row>
    <row r="20" spans="5:16" ht="28.8" x14ac:dyDescent="0.55000000000000004">
      <c r="E20" s="235">
        <v>3427</v>
      </c>
      <c r="F20" s="236" t="s">
        <v>4</v>
      </c>
      <c r="G20" s="236" t="s">
        <v>33</v>
      </c>
      <c r="H20" s="236" t="s">
        <v>34</v>
      </c>
      <c r="I20" s="237">
        <f>'SALARY(HR DEPT)'!G4</f>
        <v>60910</v>
      </c>
      <c r="J20" s="238">
        <f>'SALARY(HR DEPT)'!H4</f>
        <v>12182</v>
      </c>
      <c r="K20" s="238">
        <f>'SALARY(HR DEPT)'!I4</f>
        <v>6091</v>
      </c>
      <c r="L20" s="238">
        <f>'SALARY(HR DEPT)'!J4</f>
        <v>6091</v>
      </c>
      <c r="M20" s="239">
        <f>'SALARY(HR DEPT)'!K4</f>
        <v>85274</v>
      </c>
      <c r="N20" s="240">
        <f>'SALARY(HR DEPT)'!L4</f>
        <v>7309.2</v>
      </c>
      <c r="O20" s="240">
        <f>'SALARY(HR DEPT)'!M4</f>
        <v>3045.5</v>
      </c>
      <c r="P20" s="241">
        <f>'SALARY(HR DEPT)'!N4</f>
        <v>74919.3</v>
      </c>
    </row>
    <row r="21" spans="5:16" ht="28.8" x14ac:dyDescent="0.55000000000000004">
      <c r="E21" s="235">
        <v>3432</v>
      </c>
      <c r="F21" s="236" t="s">
        <v>9</v>
      </c>
      <c r="G21" s="236" t="s">
        <v>33</v>
      </c>
      <c r="H21" s="236" t="s">
        <v>34</v>
      </c>
      <c r="I21" s="237">
        <f>'SALARY(HR DEPT)'!G5</f>
        <v>67746</v>
      </c>
      <c r="J21" s="238">
        <f>'SALARY(HR DEPT)'!H5</f>
        <v>13549.2</v>
      </c>
      <c r="K21" s="238">
        <f>'SALARY(HR DEPT)'!I5</f>
        <v>6774.6</v>
      </c>
      <c r="L21" s="238">
        <f>'SALARY(HR DEPT)'!J5</f>
        <v>6774.6</v>
      </c>
      <c r="M21" s="239">
        <f>'SALARY(HR DEPT)'!K5</f>
        <v>94844.400000000009</v>
      </c>
      <c r="N21" s="240">
        <f>'SALARY(HR DEPT)'!L5</f>
        <v>8129.5199999999995</v>
      </c>
      <c r="O21" s="240">
        <f>'SALARY(HR DEPT)'!M5</f>
        <v>3387.3</v>
      </c>
      <c r="P21" s="241">
        <f>'SALARY(HR DEPT)'!N5</f>
        <v>83327.58</v>
      </c>
    </row>
    <row r="22" spans="5:16" ht="28.8" x14ac:dyDescent="0.55000000000000004">
      <c r="E22" s="235">
        <v>3437</v>
      </c>
      <c r="F22" s="236" t="s">
        <v>14</v>
      </c>
      <c r="G22" s="236" t="s">
        <v>33</v>
      </c>
      <c r="H22" s="236" t="s">
        <v>34</v>
      </c>
      <c r="I22" s="237">
        <f>'SALARY(HR DEPT)'!G6</f>
        <v>39252</v>
      </c>
      <c r="J22" s="238">
        <f>'SALARY(HR DEPT)'!H6</f>
        <v>7850.4000000000005</v>
      </c>
      <c r="K22" s="238">
        <f>'SALARY(HR DEPT)'!I6</f>
        <v>3925.2000000000003</v>
      </c>
      <c r="L22" s="238">
        <f>'SALARY(HR DEPT)'!J6</f>
        <v>3925.2000000000003</v>
      </c>
      <c r="M22" s="239">
        <f>'SALARY(HR DEPT)'!K6</f>
        <v>54952.799999999996</v>
      </c>
      <c r="N22" s="240">
        <f>'SALARY(HR DEPT)'!L6</f>
        <v>4710.24</v>
      </c>
      <c r="O22" s="240">
        <f>'SALARY(HR DEPT)'!M6</f>
        <v>1962.6000000000001</v>
      </c>
      <c r="P22" s="241">
        <f>'SALARY(HR DEPT)'!N6</f>
        <v>48279.96</v>
      </c>
    </row>
    <row r="23" spans="5:16" ht="28.8" x14ac:dyDescent="0.55000000000000004">
      <c r="E23" s="235">
        <v>3442</v>
      </c>
      <c r="F23" s="236" t="s">
        <v>19</v>
      </c>
      <c r="G23" s="236" t="s">
        <v>33</v>
      </c>
      <c r="H23" s="236" t="s">
        <v>34</v>
      </c>
      <c r="I23" s="237">
        <f>'SALARY(HR DEPT)'!G7</f>
        <v>44515</v>
      </c>
      <c r="J23" s="238">
        <f>'SALARY(HR DEPT)'!H7</f>
        <v>8903</v>
      </c>
      <c r="K23" s="238">
        <f>'SALARY(HR DEPT)'!I7</f>
        <v>4451.5</v>
      </c>
      <c r="L23" s="238">
        <f>'SALARY(HR DEPT)'!J7</f>
        <v>4451.5</v>
      </c>
      <c r="M23" s="239">
        <f>'SALARY(HR DEPT)'!K7</f>
        <v>62321</v>
      </c>
      <c r="N23" s="240">
        <f>'SALARY(HR DEPT)'!L7</f>
        <v>5341.8</v>
      </c>
      <c r="O23" s="240">
        <f>'SALARY(HR DEPT)'!M7</f>
        <v>2225.75</v>
      </c>
      <c r="P23" s="241">
        <f>'SALARY(HR DEPT)'!N7</f>
        <v>54753.45</v>
      </c>
    </row>
    <row r="24" spans="5:16" ht="28.8" x14ac:dyDescent="0.55000000000000004">
      <c r="E24" s="235">
        <v>3431</v>
      </c>
      <c r="F24" s="236" t="s">
        <v>8</v>
      </c>
      <c r="G24" s="236" t="s">
        <v>47</v>
      </c>
      <c r="H24" s="236" t="s">
        <v>48</v>
      </c>
      <c r="I24" s="237">
        <f>'SALARY(SALES DEPT)'!F4</f>
        <v>52792</v>
      </c>
      <c r="J24" s="238">
        <f>'SALARY(SALES DEPT)'!G4</f>
        <v>10558.4</v>
      </c>
      <c r="K24" s="238">
        <f>'SALARY(SALES DEPT)'!H4</f>
        <v>5279.2000000000007</v>
      </c>
      <c r="L24" s="238">
        <f>'SALARY(SALES DEPT)'!I4</f>
        <v>5279.2000000000007</v>
      </c>
      <c r="M24" s="239">
        <f>'SALARY(SALES DEPT)'!J4</f>
        <v>73908.800000000003</v>
      </c>
      <c r="N24" s="240">
        <f>'SALARY(SALES DEPT)'!K4</f>
        <v>6335.04</v>
      </c>
      <c r="O24" s="240">
        <f>'SALARY(SALES DEPT)'!L4</f>
        <v>2639.6000000000004</v>
      </c>
      <c r="P24" s="241">
        <f>'SALARY(SALES DEPT)'!M4</f>
        <v>64934.160000000011</v>
      </c>
    </row>
    <row r="25" spans="5:16" ht="28.8" x14ac:dyDescent="0.55000000000000004">
      <c r="E25" s="235">
        <v>3436</v>
      </c>
      <c r="F25" s="236" t="s">
        <v>13</v>
      </c>
      <c r="G25" s="236" t="s">
        <v>47</v>
      </c>
      <c r="H25" s="236" t="s">
        <v>48</v>
      </c>
      <c r="I25" s="237">
        <f>'SALARY(SALES DEPT)'!F5</f>
        <v>47363</v>
      </c>
      <c r="J25" s="238">
        <f>'SALARY(SALES DEPT)'!G5</f>
        <v>9472.6</v>
      </c>
      <c r="K25" s="238">
        <f>'SALARY(SALES DEPT)'!H5</f>
        <v>4736.3</v>
      </c>
      <c r="L25" s="238">
        <f>'SALARY(SALES DEPT)'!I5</f>
        <v>4736.3</v>
      </c>
      <c r="M25" s="239">
        <f>'SALARY(SALES DEPT)'!J5</f>
        <v>66308.2</v>
      </c>
      <c r="N25" s="240">
        <f>'SALARY(SALES DEPT)'!K5</f>
        <v>5683.5599999999995</v>
      </c>
      <c r="O25" s="240">
        <f>'SALARY(SALES DEPT)'!L5</f>
        <v>2368.15</v>
      </c>
      <c r="P25" s="241">
        <f>'SALARY(SALES DEPT)'!M5</f>
        <v>58256.49</v>
      </c>
    </row>
    <row r="26" spans="5:16" ht="28.8" x14ac:dyDescent="0.55000000000000004">
      <c r="E26" s="235">
        <v>3441</v>
      </c>
      <c r="F26" s="236" t="s">
        <v>18</v>
      </c>
      <c r="G26" s="236" t="s">
        <v>47</v>
      </c>
      <c r="H26" s="236" t="s">
        <v>48</v>
      </c>
      <c r="I26" s="237">
        <f>'SALARY(SALES DEPT)'!F6</f>
        <v>41301</v>
      </c>
      <c r="J26" s="238">
        <f>'SALARY(SALES DEPT)'!G6</f>
        <v>8260.2000000000007</v>
      </c>
      <c r="K26" s="238">
        <f>'SALARY(SALES DEPT)'!H6</f>
        <v>4130.1000000000004</v>
      </c>
      <c r="L26" s="238">
        <f>'SALARY(SALES DEPT)'!I6</f>
        <v>4130.1000000000004</v>
      </c>
      <c r="M26" s="239">
        <f>'SALARY(SALES DEPT)'!J6</f>
        <v>57821.399999999994</v>
      </c>
      <c r="N26" s="240">
        <f>'SALARY(SALES DEPT)'!K6</f>
        <v>4956.12</v>
      </c>
      <c r="O26" s="240">
        <f>'SALARY(SALES DEPT)'!L6</f>
        <v>2065.0500000000002</v>
      </c>
      <c r="P26" s="241">
        <f>'SALARY(SALES DEPT)'!M6</f>
        <v>50800.229999999989</v>
      </c>
    </row>
    <row r="27" spans="5:16" ht="29.4" thickBot="1" x14ac:dyDescent="0.6">
      <c r="E27" s="242">
        <v>3446</v>
      </c>
      <c r="F27" s="243" t="s">
        <v>23</v>
      </c>
      <c r="G27" s="243" t="s">
        <v>47</v>
      </c>
      <c r="H27" s="243" t="s">
        <v>48</v>
      </c>
      <c r="I27" s="244">
        <f>'SALARY(SALES DEPT)'!F7</f>
        <v>36560</v>
      </c>
      <c r="J27" s="245">
        <f>'SALARY(SALES DEPT)'!G7</f>
        <v>7312</v>
      </c>
      <c r="K27" s="245">
        <f>'SALARY(SALES DEPT)'!H7</f>
        <v>3656</v>
      </c>
      <c r="L27" s="245">
        <f>'SALARY(SALES DEPT)'!I7</f>
        <v>3656</v>
      </c>
      <c r="M27" s="246">
        <f>'SALARY(SALES DEPT)'!J7</f>
        <v>51184</v>
      </c>
      <c r="N27" s="247">
        <f>'SALARY(SALES DEPT)'!K7</f>
        <v>4387.2</v>
      </c>
      <c r="O27" s="247">
        <f>'SALARY(SALES DEPT)'!L7</f>
        <v>1828</v>
      </c>
      <c r="P27" s="248">
        <f>'SALARY(SALES DEPT)'!M7</f>
        <v>44968.800000000003</v>
      </c>
    </row>
  </sheetData>
  <autoFilter ref="E7:P27" xr:uid="{00000000-0009-0000-0000-000017000000}">
    <sortState xmlns:xlrd2="http://schemas.microsoft.com/office/spreadsheetml/2017/richdata2" ref="E11:P30">
      <sortCondition ref="H10:H30"/>
    </sortState>
  </autoFilter>
  <sortState xmlns:xlrd2="http://schemas.microsoft.com/office/spreadsheetml/2017/richdata2" ref="E10:H11">
    <sortCondition ref="F10"/>
  </sortState>
  <mergeCells count="2">
    <mergeCell ref="A5:C5"/>
    <mergeCell ref="E5:P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"/>
  <dimension ref="A1:S23"/>
  <sheetViews>
    <sheetView tabSelected="1" zoomScale="62" zoomScaleNormal="62" workbookViewId="0">
      <selection activeCell="A2" sqref="A2"/>
    </sheetView>
  </sheetViews>
  <sheetFormatPr defaultColWidth="9.109375" defaultRowHeight="18" x14ac:dyDescent="0.3"/>
  <cols>
    <col min="1" max="1" width="28.6640625" style="106" customWidth="1"/>
    <col min="2" max="2" width="15.6640625" style="106" customWidth="1"/>
    <col min="3" max="3" width="9.88671875" style="106" customWidth="1"/>
    <col min="4" max="4" width="28.88671875" style="107" customWidth="1"/>
    <col min="5" max="5" width="12.44140625" style="106" customWidth="1"/>
    <col min="6" max="8" width="9.109375" style="106"/>
    <col min="9" max="9" width="10.6640625" style="106" customWidth="1"/>
    <col min="10" max="10" width="12.6640625" style="106" customWidth="1"/>
    <col min="11" max="11" width="3.5546875" style="106" customWidth="1"/>
    <col min="12" max="12" width="32.33203125" style="106" customWidth="1"/>
    <col min="13" max="13" width="3.44140625" style="108" customWidth="1"/>
    <col min="14" max="16384" width="9.109375" style="106"/>
  </cols>
  <sheetData>
    <row r="1" spans="1:19" ht="32.25" customHeight="1" x14ac:dyDescent="0.3">
      <c r="A1" s="106">
        <v>17</v>
      </c>
    </row>
    <row r="2" spans="1:19" ht="33.75" customHeight="1" thickBot="1" x14ac:dyDescent="0.35">
      <c r="A2" s="210" t="str">
        <f>HYPERLINK("#'Table Of contents'!B1","GO TO TOC SHEET")</f>
        <v>GO TO TOC SHEET</v>
      </c>
    </row>
    <row r="3" spans="1:19" ht="32.25" customHeight="1" x14ac:dyDescent="0.3">
      <c r="D3" s="350" t="s">
        <v>119</v>
      </c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  <c r="S3" s="352"/>
    </row>
    <row r="4" spans="1:19" ht="18.75" customHeight="1" x14ac:dyDescent="0.3">
      <c r="D4" s="353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5"/>
    </row>
    <row r="5" spans="1:19" x14ac:dyDescent="0.3">
      <c r="D5" s="97"/>
      <c r="E5" s="98"/>
      <c r="F5" s="98"/>
      <c r="G5" s="98"/>
      <c r="H5" s="98"/>
      <c r="I5" s="98"/>
      <c r="J5" s="116"/>
      <c r="L5" s="118"/>
      <c r="M5" s="111"/>
      <c r="N5" s="110"/>
      <c r="O5" s="110"/>
      <c r="P5" s="110"/>
      <c r="Q5" s="110"/>
      <c r="R5" s="110"/>
      <c r="S5" s="112"/>
    </row>
    <row r="6" spans="1:19" ht="18.75" customHeight="1" x14ac:dyDescent="0.3">
      <c r="D6" s="97"/>
      <c r="E6" s="98"/>
      <c r="F6" s="98"/>
      <c r="G6" s="98"/>
      <c r="H6" s="98"/>
      <c r="I6" s="98"/>
      <c r="J6" s="116"/>
      <c r="L6" s="118"/>
      <c r="M6" s="111"/>
      <c r="N6" s="110"/>
      <c r="O6" s="110"/>
      <c r="P6" s="110"/>
      <c r="Q6" s="110"/>
      <c r="R6" s="110"/>
      <c r="S6" s="112"/>
    </row>
    <row r="7" spans="1:19" ht="38.25" customHeight="1" x14ac:dyDescent="0.4">
      <c r="D7" s="99" t="s">
        <v>2</v>
      </c>
      <c r="E7" s="100" t="s">
        <v>117</v>
      </c>
      <c r="F7" s="344"/>
      <c r="G7" s="344"/>
      <c r="H7" s="344"/>
      <c r="I7" s="344"/>
      <c r="J7" s="345"/>
      <c r="L7" s="119" t="s">
        <v>118</v>
      </c>
      <c r="M7" s="113" t="s">
        <v>117</v>
      </c>
      <c r="N7" s="346"/>
      <c r="O7" s="346"/>
      <c r="P7" s="346"/>
      <c r="Q7" s="346"/>
      <c r="R7" s="346"/>
      <c r="S7" s="112"/>
    </row>
    <row r="8" spans="1:19" ht="9.75" customHeight="1" x14ac:dyDescent="0.4">
      <c r="D8" s="101"/>
      <c r="E8" s="102"/>
      <c r="F8" s="98"/>
      <c r="G8" s="98"/>
      <c r="H8" s="98"/>
      <c r="I8" s="98"/>
      <c r="J8" s="116"/>
      <c r="L8" s="119"/>
      <c r="M8" s="111"/>
      <c r="N8" s="110"/>
      <c r="O8" s="110"/>
      <c r="P8" s="110"/>
      <c r="Q8" s="110"/>
      <c r="R8" s="110"/>
      <c r="S8" s="112"/>
    </row>
    <row r="9" spans="1:19" ht="38.25" customHeight="1" x14ac:dyDescent="0.4">
      <c r="D9" s="101" t="s">
        <v>3</v>
      </c>
      <c r="E9" s="100" t="s">
        <v>117</v>
      </c>
      <c r="F9" s="344"/>
      <c r="G9" s="344"/>
      <c r="H9" s="344"/>
      <c r="I9" s="344"/>
      <c r="J9" s="345"/>
      <c r="L9" s="120" t="s">
        <v>113</v>
      </c>
      <c r="M9" s="113" t="s">
        <v>117</v>
      </c>
      <c r="N9" s="346"/>
      <c r="O9" s="346"/>
      <c r="P9" s="346"/>
      <c r="Q9" s="346"/>
      <c r="R9" s="346"/>
      <c r="S9" s="112"/>
    </row>
    <row r="10" spans="1:19" ht="9.75" customHeight="1" x14ac:dyDescent="0.4">
      <c r="D10" s="101"/>
      <c r="E10" s="102"/>
      <c r="F10" s="98"/>
      <c r="G10" s="98"/>
      <c r="H10" s="98"/>
      <c r="I10" s="98"/>
      <c r="J10" s="116"/>
      <c r="L10" s="120"/>
      <c r="M10" s="111"/>
      <c r="N10" s="110"/>
      <c r="O10" s="110"/>
      <c r="P10" s="110"/>
      <c r="Q10" s="110"/>
      <c r="R10" s="110"/>
      <c r="S10" s="112"/>
    </row>
    <row r="11" spans="1:19" ht="37.5" customHeight="1" x14ac:dyDescent="0.4">
      <c r="D11" s="101" t="s">
        <v>24</v>
      </c>
      <c r="E11" s="100" t="s">
        <v>117</v>
      </c>
      <c r="F11" s="344"/>
      <c r="G11" s="344"/>
      <c r="H11" s="344"/>
      <c r="I11" s="344"/>
      <c r="J11" s="345"/>
      <c r="L11" s="120" t="s">
        <v>114</v>
      </c>
      <c r="M11" s="113" t="s">
        <v>117</v>
      </c>
      <c r="N11" s="346"/>
      <c r="O11" s="346"/>
      <c r="P11" s="346"/>
      <c r="Q11" s="346"/>
      <c r="R11" s="346"/>
      <c r="S11" s="112"/>
    </row>
    <row r="12" spans="1:19" ht="9.75" customHeight="1" x14ac:dyDescent="0.4">
      <c r="D12" s="101"/>
      <c r="E12" s="102"/>
      <c r="F12" s="98"/>
      <c r="G12" s="98"/>
      <c r="H12" s="98"/>
      <c r="I12" s="98"/>
      <c r="J12" s="116"/>
      <c r="L12" s="120"/>
      <c r="M12" s="111"/>
      <c r="N12" s="110"/>
      <c r="O12" s="110"/>
      <c r="P12" s="110"/>
      <c r="Q12" s="110"/>
      <c r="R12" s="110"/>
      <c r="S12" s="112"/>
    </row>
    <row r="13" spans="1:19" ht="42" x14ac:dyDescent="0.4">
      <c r="D13" s="101" t="s">
        <v>25</v>
      </c>
      <c r="E13" s="100" t="s">
        <v>117</v>
      </c>
      <c r="F13" s="344"/>
      <c r="G13" s="344"/>
      <c r="H13" s="344"/>
      <c r="I13" s="344"/>
      <c r="J13" s="345"/>
      <c r="L13" s="121" t="s">
        <v>115</v>
      </c>
      <c r="M13" s="113" t="s">
        <v>117</v>
      </c>
      <c r="N13" s="346"/>
      <c r="O13" s="346"/>
      <c r="P13" s="346"/>
      <c r="Q13" s="346"/>
      <c r="R13" s="346"/>
      <c r="S13" s="112"/>
    </row>
    <row r="14" spans="1:19" ht="9.75" customHeight="1" x14ac:dyDescent="0.3">
      <c r="D14" s="101"/>
      <c r="E14" s="102"/>
      <c r="F14" s="98"/>
      <c r="G14" s="98"/>
      <c r="H14" s="98"/>
      <c r="I14" s="98"/>
      <c r="J14" s="116"/>
      <c r="L14" s="122"/>
      <c r="M14" s="111"/>
      <c r="N14" s="110"/>
      <c r="O14" s="110"/>
      <c r="P14" s="110"/>
      <c r="Q14" s="110"/>
      <c r="R14" s="110"/>
      <c r="S14" s="112"/>
    </row>
    <row r="15" spans="1:19" ht="38.25" customHeight="1" x14ac:dyDescent="0.4">
      <c r="D15" s="101" t="s">
        <v>26</v>
      </c>
      <c r="E15" s="100" t="s">
        <v>117</v>
      </c>
      <c r="F15" s="344"/>
      <c r="G15" s="344"/>
      <c r="H15" s="344"/>
      <c r="I15" s="344"/>
      <c r="J15" s="345"/>
      <c r="L15" s="120" t="s">
        <v>95</v>
      </c>
      <c r="M15" s="113" t="s">
        <v>117</v>
      </c>
      <c r="N15" s="346"/>
      <c r="O15" s="346"/>
      <c r="P15" s="346"/>
      <c r="Q15" s="346"/>
      <c r="R15" s="346"/>
      <c r="S15" s="112"/>
    </row>
    <row r="16" spans="1:19" ht="9.75" customHeight="1" x14ac:dyDescent="0.4">
      <c r="D16" s="101"/>
      <c r="E16" s="102"/>
      <c r="F16" s="98"/>
      <c r="G16" s="98"/>
      <c r="H16" s="98"/>
      <c r="I16" s="98"/>
      <c r="J16" s="116"/>
      <c r="L16" s="120"/>
      <c r="M16" s="111"/>
      <c r="N16" s="110"/>
      <c r="O16" s="110"/>
      <c r="P16" s="110"/>
      <c r="Q16" s="110"/>
      <c r="R16" s="110"/>
      <c r="S16" s="112"/>
    </row>
    <row r="17" spans="3:19" ht="43.5" customHeight="1" x14ac:dyDescent="0.4">
      <c r="D17" s="101" t="s">
        <v>27</v>
      </c>
      <c r="E17" s="100" t="s">
        <v>117</v>
      </c>
      <c r="F17" s="344"/>
      <c r="G17" s="344"/>
      <c r="H17" s="344"/>
      <c r="I17" s="344"/>
      <c r="J17" s="345"/>
      <c r="L17" s="120" t="s">
        <v>101</v>
      </c>
      <c r="M17" s="113" t="s">
        <v>117</v>
      </c>
      <c r="N17" s="346"/>
      <c r="O17" s="346"/>
      <c r="P17" s="346"/>
      <c r="Q17" s="346"/>
      <c r="R17" s="346"/>
      <c r="S17" s="112"/>
    </row>
    <row r="18" spans="3:19" ht="9.75" customHeight="1" x14ac:dyDescent="0.4">
      <c r="D18" s="101"/>
      <c r="E18" s="102"/>
      <c r="F18" s="98"/>
      <c r="G18" s="98"/>
      <c r="H18" s="98"/>
      <c r="I18" s="98"/>
      <c r="J18" s="116"/>
      <c r="L18" s="120"/>
      <c r="M18" s="111"/>
      <c r="N18" s="110"/>
      <c r="O18" s="110"/>
      <c r="P18" s="110"/>
      <c r="Q18" s="110"/>
      <c r="R18" s="110"/>
      <c r="S18" s="112"/>
    </row>
    <row r="19" spans="3:19" ht="51" customHeight="1" x14ac:dyDescent="0.4">
      <c r="D19" s="101" t="s">
        <v>28</v>
      </c>
      <c r="E19" s="100" t="s">
        <v>117</v>
      </c>
      <c r="F19" s="344"/>
      <c r="G19" s="344"/>
      <c r="H19" s="344"/>
      <c r="I19" s="344"/>
      <c r="J19" s="345"/>
      <c r="L19" s="120" t="s">
        <v>94</v>
      </c>
      <c r="M19" s="113" t="s">
        <v>117</v>
      </c>
      <c r="N19" s="346"/>
      <c r="O19" s="346"/>
      <c r="P19" s="346"/>
      <c r="Q19" s="346"/>
      <c r="R19" s="346"/>
      <c r="S19" s="112"/>
    </row>
    <row r="20" spans="3:19" ht="9.75" customHeight="1" x14ac:dyDescent="0.4">
      <c r="D20" s="101"/>
      <c r="E20" s="102"/>
      <c r="F20" s="98"/>
      <c r="G20" s="98"/>
      <c r="H20" s="98"/>
      <c r="I20" s="98"/>
      <c r="J20" s="116"/>
      <c r="L20" s="120"/>
      <c r="M20" s="111"/>
      <c r="N20" s="110"/>
      <c r="O20" s="110"/>
      <c r="P20" s="110"/>
      <c r="Q20" s="110"/>
      <c r="R20" s="110"/>
      <c r="S20" s="112"/>
    </row>
    <row r="21" spans="3:19" ht="48" customHeight="1" x14ac:dyDescent="0.4">
      <c r="D21" s="101" t="s">
        <v>29</v>
      </c>
      <c r="E21" s="100" t="s">
        <v>117</v>
      </c>
      <c r="F21" s="344"/>
      <c r="G21" s="344"/>
      <c r="H21" s="344"/>
      <c r="I21" s="344"/>
      <c r="J21" s="345"/>
      <c r="L21" s="120" t="s">
        <v>102</v>
      </c>
      <c r="M21" s="113" t="s">
        <v>117</v>
      </c>
      <c r="N21" s="346"/>
      <c r="O21" s="346"/>
      <c r="P21" s="346"/>
      <c r="Q21" s="346"/>
      <c r="R21" s="346"/>
      <c r="S21" s="112"/>
    </row>
    <row r="22" spans="3:19" ht="9.75" customHeight="1" x14ac:dyDescent="0.4">
      <c r="D22" s="101"/>
      <c r="E22" s="102"/>
      <c r="F22" s="98"/>
      <c r="G22" s="98"/>
      <c r="H22" s="98"/>
      <c r="I22" s="98"/>
      <c r="J22" s="116"/>
      <c r="L22" s="120"/>
      <c r="M22" s="111"/>
      <c r="N22" s="110"/>
      <c r="O22" s="110"/>
      <c r="P22" s="110"/>
      <c r="Q22" s="110"/>
      <c r="R22" s="110"/>
      <c r="S22" s="112"/>
    </row>
    <row r="23" spans="3:19" ht="74.25" customHeight="1" thickBot="1" x14ac:dyDescent="0.4">
      <c r="C23" s="117"/>
      <c r="D23" s="103" t="s">
        <v>30</v>
      </c>
      <c r="E23" s="104" t="s">
        <v>117</v>
      </c>
      <c r="F23" s="347"/>
      <c r="G23" s="347"/>
      <c r="H23" s="347"/>
      <c r="I23" s="347"/>
      <c r="J23" s="348"/>
      <c r="K23" s="109"/>
      <c r="L23" s="171" t="s">
        <v>116</v>
      </c>
      <c r="M23" s="114" t="s">
        <v>117</v>
      </c>
      <c r="N23" s="349"/>
      <c r="O23" s="349"/>
      <c r="P23" s="349"/>
      <c r="Q23" s="349"/>
      <c r="R23" s="349"/>
      <c r="S23" s="115"/>
    </row>
  </sheetData>
  <mergeCells count="19">
    <mergeCell ref="N13:R13"/>
    <mergeCell ref="N11:R11"/>
    <mergeCell ref="N9:R9"/>
    <mergeCell ref="D3:S4"/>
    <mergeCell ref="N7:R7"/>
    <mergeCell ref="F7:J7"/>
    <mergeCell ref="F9:J9"/>
    <mergeCell ref="F11:J11"/>
    <mergeCell ref="F13:J13"/>
    <mergeCell ref="F21:J21"/>
    <mergeCell ref="F23:J23"/>
    <mergeCell ref="N23:R23"/>
    <mergeCell ref="N21:R21"/>
    <mergeCell ref="N19:R19"/>
    <mergeCell ref="F15:J15"/>
    <mergeCell ref="F17:J17"/>
    <mergeCell ref="N17:R17"/>
    <mergeCell ref="N15:R15"/>
    <mergeCell ref="F19:J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5</xdr:col>
                    <xdr:colOff>106680</xdr:colOff>
                    <xdr:row>6</xdr:row>
                    <xdr:rowOff>60960</xdr:rowOff>
                  </from>
                  <to>
                    <xdr:col>9</xdr:col>
                    <xdr:colOff>784860</xdr:colOff>
                    <xdr:row>6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5</xdr:col>
                    <xdr:colOff>106680</xdr:colOff>
                    <xdr:row>8</xdr:row>
                    <xdr:rowOff>60960</xdr:rowOff>
                  </from>
                  <to>
                    <xdr:col>9</xdr:col>
                    <xdr:colOff>784860</xdr:colOff>
                    <xdr:row>8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5</xdr:col>
                    <xdr:colOff>106680</xdr:colOff>
                    <xdr:row>10</xdr:row>
                    <xdr:rowOff>60960</xdr:rowOff>
                  </from>
                  <to>
                    <xdr:col>9</xdr:col>
                    <xdr:colOff>784860</xdr:colOff>
                    <xdr:row>10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5</xdr:col>
                    <xdr:colOff>106680</xdr:colOff>
                    <xdr:row>10</xdr:row>
                    <xdr:rowOff>60960</xdr:rowOff>
                  </from>
                  <to>
                    <xdr:col>9</xdr:col>
                    <xdr:colOff>784860</xdr:colOff>
                    <xdr:row>10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5</xdr:col>
                    <xdr:colOff>106680</xdr:colOff>
                    <xdr:row>12</xdr:row>
                    <xdr:rowOff>60960</xdr:rowOff>
                  </from>
                  <to>
                    <xdr:col>9</xdr:col>
                    <xdr:colOff>754380</xdr:colOff>
                    <xdr:row>12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Drop Down 8">
              <controlPr defaultSize="0" autoLine="0" autoPict="0">
                <anchor moveWithCells="1">
                  <from>
                    <xdr:col>5</xdr:col>
                    <xdr:colOff>144780</xdr:colOff>
                    <xdr:row>14</xdr:row>
                    <xdr:rowOff>76200</xdr:rowOff>
                  </from>
                  <to>
                    <xdr:col>9</xdr:col>
                    <xdr:colOff>746760</xdr:colOff>
                    <xdr:row>14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Drop Down 9">
              <controlPr defaultSize="0" autoLine="0" autoPict="0">
                <anchor moveWithCells="1">
                  <from>
                    <xdr:col>5</xdr:col>
                    <xdr:colOff>106680</xdr:colOff>
                    <xdr:row>16</xdr:row>
                    <xdr:rowOff>60960</xdr:rowOff>
                  </from>
                  <to>
                    <xdr:col>9</xdr:col>
                    <xdr:colOff>784860</xdr:colOff>
                    <xdr:row>16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Drop Down 10">
              <controlPr defaultSize="0" autoLine="0" autoPict="0">
                <anchor moveWithCells="1">
                  <from>
                    <xdr:col>5</xdr:col>
                    <xdr:colOff>121920</xdr:colOff>
                    <xdr:row>22</xdr:row>
                    <xdr:rowOff>213360</xdr:rowOff>
                  </from>
                  <to>
                    <xdr:col>9</xdr:col>
                    <xdr:colOff>800100</xdr:colOff>
                    <xdr:row>22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Drop Down 11">
              <controlPr defaultSize="0" autoLine="0" autoPict="0">
                <anchor moveWithCells="1">
                  <from>
                    <xdr:col>5</xdr:col>
                    <xdr:colOff>106680</xdr:colOff>
                    <xdr:row>18</xdr:row>
                    <xdr:rowOff>60960</xdr:rowOff>
                  </from>
                  <to>
                    <xdr:col>9</xdr:col>
                    <xdr:colOff>784860</xdr:colOff>
                    <xdr:row>18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Drop Down 12">
              <controlPr defaultSize="0" autoLine="0" autoPict="0">
                <anchor moveWithCells="1">
                  <from>
                    <xdr:col>5</xdr:col>
                    <xdr:colOff>106680</xdr:colOff>
                    <xdr:row>20</xdr:row>
                    <xdr:rowOff>106680</xdr:rowOff>
                  </from>
                  <to>
                    <xdr:col>9</xdr:col>
                    <xdr:colOff>784860</xdr:colOff>
                    <xdr:row>20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Drop Down 13">
              <controlPr defaultSize="0" autoLine="0" autoPict="0">
                <anchor moveWithCells="1">
                  <from>
                    <xdr:col>13</xdr:col>
                    <xdr:colOff>106680</xdr:colOff>
                    <xdr:row>6</xdr:row>
                    <xdr:rowOff>60960</xdr:rowOff>
                  </from>
                  <to>
                    <xdr:col>17</xdr:col>
                    <xdr:colOff>487680</xdr:colOff>
                    <xdr:row>6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Drop Down 14">
              <controlPr defaultSize="0" autoLine="0" autoPict="0">
                <anchor moveWithCells="1">
                  <from>
                    <xdr:col>13</xdr:col>
                    <xdr:colOff>106680</xdr:colOff>
                    <xdr:row>8</xdr:row>
                    <xdr:rowOff>60960</xdr:rowOff>
                  </from>
                  <to>
                    <xdr:col>17</xdr:col>
                    <xdr:colOff>525780</xdr:colOff>
                    <xdr:row>8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Drop Down 15">
              <controlPr defaultSize="0" autoLine="0" autoPict="0">
                <anchor moveWithCells="1">
                  <from>
                    <xdr:col>13</xdr:col>
                    <xdr:colOff>106680</xdr:colOff>
                    <xdr:row>10</xdr:row>
                    <xdr:rowOff>60960</xdr:rowOff>
                  </from>
                  <to>
                    <xdr:col>17</xdr:col>
                    <xdr:colOff>502920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Drop Down 16">
              <controlPr defaultSize="0" autoLine="0" autoPict="0">
                <anchor moveWithCells="1">
                  <from>
                    <xdr:col>13</xdr:col>
                    <xdr:colOff>106680</xdr:colOff>
                    <xdr:row>12</xdr:row>
                    <xdr:rowOff>60960</xdr:rowOff>
                  </from>
                  <to>
                    <xdr:col>17</xdr:col>
                    <xdr:colOff>502920</xdr:colOff>
                    <xdr:row>12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Drop Down 17">
              <controlPr defaultSize="0" autoLine="0" autoPict="0">
                <anchor moveWithCells="1">
                  <from>
                    <xdr:col>13</xdr:col>
                    <xdr:colOff>106680</xdr:colOff>
                    <xdr:row>14</xdr:row>
                    <xdr:rowOff>60960</xdr:rowOff>
                  </from>
                  <to>
                    <xdr:col>17</xdr:col>
                    <xdr:colOff>502920</xdr:colOff>
                    <xdr:row>14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Drop Down 18">
              <controlPr defaultSize="0" autoLine="0" autoPict="0">
                <anchor moveWithCells="1">
                  <from>
                    <xdr:col>13</xdr:col>
                    <xdr:colOff>106680</xdr:colOff>
                    <xdr:row>16</xdr:row>
                    <xdr:rowOff>60960</xdr:rowOff>
                  </from>
                  <to>
                    <xdr:col>17</xdr:col>
                    <xdr:colOff>502920</xdr:colOff>
                    <xdr:row>16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Drop Down 19">
              <controlPr defaultSize="0" autoLine="0" autoPict="0">
                <anchor moveWithCells="1">
                  <from>
                    <xdr:col>13</xdr:col>
                    <xdr:colOff>106680</xdr:colOff>
                    <xdr:row>18</xdr:row>
                    <xdr:rowOff>144780</xdr:rowOff>
                  </from>
                  <to>
                    <xdr:col>17</xdr:col>
                    <xdr:colOff>502920</xdr:colOff>
                    <xdr:row>18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Drop Down 20">
              <controlPr defaultSize="0" autoLine="0" autoPict="0">
                <anchor moveWithCells="1">
                  <from>
                    <xdr:col>13</xdr:col>
                    <xdr:colOff>106680</xdr:colOff>
                    <xdr:row>20</xdr:row>
                    <xdr:rowOff>60960</xdr:rowOff>
                  </from>
                  <to>
                    <xdr:col>17</xdr:col>
                    <xdr:colOff>525780</xdr:colOff>
                    <xdr:row>20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Drop Down 21">
              <controlPr defaultSize="0" autoLine="0" autoPict="0">
                <anchor moveWithCells="1">
                  <from>
                    <xdr:col>13</xdr:col>
                    <xdr:colOff>83820</xdr:colOff>
                    <xdr:row>22</xdr:row>
                    <xdr:rowOff>83820</xdr:rowOff>
                  </from>
                  <to>
                    <xdr:col>17</xdr:col>
                    <xdr:colOff>419100</xdr:colOff>
                    <xdr:row>22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TITLE</vt:lpstr>
      <vt:lpstr>Table of contents</vt:lpstr>
      <vt:lpstr>EMPLOYEE DETAILS</vt:lpstr>
      <vt:lpstr> DEPARTMENTS</vt:lpstr>
      <vt:lpstr>LEAVE TITLE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 LEAVE TRACKER</vt:lpstr>
      <vt:lpstr>SALARY(HR DEPT)</vt:lpstr>
      <vt:lpstr>SALARY(IT DEPT)</vt:lpstr>
      <vt:lpstr>SALARY(FINANCE DEPT)</vt:lpstr>
      <vt:lpstr>SALARY(MARKETING DEPT)</vt:lpstr>
      <vt:lpstr>SALARY(SALES DEPT)</vt:lpstr>
      <vt:lpstr>SALARY TRACKER</vt:lpstr>
      <vt:lpstr>AUTOMATED REPORTS</vt:lpstr>
      <vt:lpstr>idlist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Gorige Nandini</cp:lastModifiedBy>
  <dcterms:created xsi:type="dcterms:W3CDTF">2025-02-19T16:14:26Z</dcterms:created>
  <dcterms:modified xsi:type="dcterms:W3CDTF">2026-01-02T07:58:47Z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a69a5859-b452-4421-8653-8ef3c409fff7</vt:lpwstr>
  </property>
</Properties>
</file>